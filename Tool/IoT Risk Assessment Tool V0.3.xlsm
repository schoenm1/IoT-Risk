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autoCompressPictures="0"/>
  <mc:AlternateContent xmlns:mc="http://schemas.openxmlformats.org/markup-compatibility/2006">
    <mc:Choice Requires="x15">
      <x15ac:absPath xmlns:x15ac="http://schemas.microsoft.com/office/spreadsheetml/2010/11/ac" url="E:\Dropbox_Micha\Dropbox\Bachelorarbeit - schoenm1\Excel Tool\"/>
    </mc:Choice>
  </mc:AlternateContent>
  <bookViews>
    <workbookView xWindow="0" yWindow="0" windowWidth="29070" windowHeight="15870" tabRatio="849" firstSheet="3" activeTab="4"/>
  </bookViews>
  <sheets>
    <sheet name="global_Settings" sheetId="5" r:id="rId1"/>
    <sheet name="LANGUAGE-D-E" sheetId="6" r:id="rId2"/>
    <sheet name="&lt;&lt;Settings" sheetId="7" r:id="rId3"/>
    <sheet name="Title" sheetId="31" r:id="rId4"/>
    <sheet name="FMEA" sheetId="1" r:id="rId5"/>
    <sheet name="FMEA-Risk-Matrix" sheetId="2" r:id="rId6"/>
    <sheet name="FMEA_scores" sheetId="21" r:id="rId7"/>
    <sheet name="Assets_DB" sheetId="15" r:id="rId8"/>
    <sheet name="potential_failure_DB" sheetId="14" r:id="rId9"/>
    <sheet name="result_failure_DB" sheetId="16" r:id="rId10"/>
    <sheet name="cause_failure_DB" sheetId="19" r:id="rId11"/>
    <sheet name="MEHARI" sheetId="24" r:id="rId12"/>
    <sheet name="MEHARI-Risk-Matrix" sheetId="12" r:id="rId13"/>
    <sheet name="DISS_DB" sheetId="25" r:id="rId14"/>
    <sheet name="PREV_DB" sheetId="26" r:id="rId15"/>
    <sheet name="PROT_DB" sheetId="29" r:id="rId16"/>
    <sheet name="PALL_DB" sheetId="28" r:id="rId17"/>
    <sheet name="Grids" sheetId="23" r:id="rId18"/>
  </sheets>
  <functionGroups builtInGroupCount="18"/>
  <definedNames>
    <definedName name="_xlnm._FilterDatabase" localSheetId="7" hidden="1">Assets_DB!$A$17:$C$17</definedName>
    <definedName name="_xlnm._FilterDatabase" localSheetId="10" hidden="1">cause_failure_DB!$A$17:$C$17</definedName>
    <definedName name="_xlnm._FilterDatabase" localSheetId="13" hidden="1">DISS_DB!$A$17:$C$17</definedName>
    <definedName name="_xlnm._FilterDatabase" localSheetId="4" hidden="1">FMEA!$A$17:$K$38</definedName>
    <definedName name="_xlnm._FilterDatabase" localSheetId="11" hidden="1">MEHARI!$A$17:$Q$40</definedName>
    <definedName name="_xlnm._FilterDatabase" localSheetId="16" hidden="1">PALL_DB!$A$17:$C$17</definedName>
    <definedName name="_xlnm._FilterDatabase" localSheetId="8" hidden="1">potential_failure_DB!$A$17:$C$17</definedName>
    <definedName name="_xlnm._FilterDatabase" localSheetId="14" hidden="1">PREV_DB!$A$17:$C$17</definedName>
    <definedName name="_xlnm._FilterDatabase" localSheetId="15" hidden="1">PROT_DB!$A$17:$C$17</definedName>
    <definedName name="_xlnm._FilterDatabase" localSheetId="9" hidden="1">result_failure_DB!$A$17:$C$17</definedName>
    <definedName name="Add_FMEA_Cleaning">global_Settings!$B$53</definedName>
    <definedName name="Add_FMEA_Cleaning_No">global_Settings!$B$54</definedName>
    <definedName name="Add_FMEA_clear_all">global_Settings!$B$55</definedName>
    <definedName name="Add_FMEA_clear_all_No">global_Settings!$B$56</definedName>
    <definedName name="Add_HeaderFooter_Finished">global_Settings!$B$94</definedName>
    <definedName name="Add_HeaderFooter_Info">global_Settings!$B$93</definedName>
    <definedName name="Add_Info_Save_PDF">global_Settings!$B$97</definedName>
    <definedName name="Add_language_changes_now">global_Settings!$B$95</definedName>
    <definedName name="Add_MEHARI_Cleaning">global_Settings!$B$64</definedName>
    <definedName name="Add_MEHARI_Cleaning_no">global_Settings!$B$65</definedName>
    <definedName name="Add_MEHARI_clear_all">global_Settings!$B$62</definedName>
    <definedName name="Add_MEHARI_clear_all_no">global_Settings!$B$63</definedName>
    <definedName name="Add_MEHARI_transfer_risks">global_Settings!$B$60</definedName>
    <definedName name="Add_MEHARI_transfer_risks_no">global_Settings!$B$61</definedName>
    <definedName name="Add_Menu_1">global_Settings!$B$71</definedName>
    <definedName name="Add_Menu_1_1">global_Settings!$B$86</definedName>
    <definedName name="Add_Menu_1_2">global_Settings!$B$88</definedName>
    <definedName name="Add_Menu_1_3">global_Settings!$B$89</definedName>
    <definedName name="Add_Menu_1_4">global_Settings!$B$90</definedName>
    <definedName name="Add_Menu_2">global_Settings!$B$72</definedName>
    <definedName name="Add_Menu_2_1">global_Settings!$B$81</definedName>
    <definedName name="Add_Menu_2_2">global_Settings!$B$83</definedName>
    <definedName name="Add_Menu_2_3">global_Settings!$B$84</definedName>
    <definedName name="Add_Menu_2_4">global_Settings!$B$78</definedName>
    <definedName name="Add_Menu_3">global_Settings!$B$73</definedName>
    <definedName name="Add_Menu_3_1">global_Settings!$B$75</definedName>
    <definedName name="Add_Menu_3_2">global_Settings!$B$82</definedName>
    <definedName name="Add_Menu_3_3">global_Settings!$B$85</definedName>
    <definedName name="Add_Menu_3_4">global_Settings!$B$87</definedName>
    <definedName name="Add_Menu_x_1">global_Settings!$B$74</definedName>
    <definedName name="Add_Menu_x_2">global_Settings!$B$76</definedName>
    <definedName name="Add_Menu_x_3">global_Settings!$B$77</definedName>
    <definedName name="Add_Menu_x_4">global_Settings!$B$79</definedName>
    <definedName name="Add_Menu_x_5">global_Settings!$B$80</definedName>
    <definedName name="Add_Menu_x_6">global_Settings!$B$96</definedName>
    <definedName name="Add_PDF_not_Saved">global_Settings!$B$92</definedName>
    <definedName name="Add_PDF_Saved">global_Settings!$B$91</definedName>
    <definedName name="Answer_DB">global_Settings!$B$20:$B$22</definedName>
    <definedName name="Asset_DB">Assets_DB!$A$18:$C$52</definedName>
    <definedName name="Auditor_Company">global_Settings!$C$2</definedName>
    <definedName name="Auditor_email">global_Settings!$C$10</definedName>
    <definedName name="Auditor_Lastname">global_Settings!$C$5</definedName>
    <definedName name="Auditor_phone">global_Settings!$C$9</definedName>
    <definedName name="Auditor_Surname">global_Settings!$C$4</definedName>
    <definedName name="cause_error_No">cause_failure_DB!$A$18:$A$57</definedName>
    <definedName name="cause_failure_DB">cause_failure_DB!$A$18:$C$57</definedName>
    <definedName name="Customer_company">global_Settings!$B$2</definedName>
    <definedName name="Customer_email">global_Settings!$B$10</definedName>
    <definedName name="Customer_Lastname">global_Settings!$B$5</definedName>
    <definedName name="Customer_phone">global_Settings!$B$9</definedName>
    <definedName name="Customer_Place">global_Settings!$B$8</definedName>
    <definedName name="Customer_PLZ">global_Settings!$B$7</definedName>
    <definedName name="Customer_Street">global_Settings!$B$6</definedName>
    <definedName name="Customer_Surname">global_Settings!$B$4</definedName>
    <definedName name="_xlnm.Print_Area" localSheetId="7">Assets_DB!$A$15:$C$45</definedName>
    <definedName name="_xlnm.Print_Area" localSheetId="10">cause_failure_DB!$A$15:$C$57</definedName>
    <definedName name="_xlnm.Print_Area" localSheetId="13">DISS_DB!$A$15:$F$45</definedName>
    <definedName name="_xlnm.Print_Area" localSheetId="4">FMEA!$A$15:$J$37</definedName>
    <definedName name="_xlnm.Print_Area" localSheetId="6">FMEA_scores!$A$15:$C$43</definedName>
    <definedName name="_xlnm.Print_Area" localSheetId="5">'FMEA-Risk-Matrix'!$D$15:$K$48</definedName>
    <definedName name="_xlnm.Print_Area" localSheetId="17">Grids!$A$1:$AB$68</definedName>
    <definedName name="_xlnm.Print_Area" localSheetId="11">MEHARI!$A$15:$O$40</definedName>
    <definedName name="_xlnm.Print_Area" localSheetId="12">'MEHARI-Risk-Matrix'!$A$15:$N$49</definedName>
    <definedName name="_xlnm.Print_Area" localSheetId="16">PALL_DB!$A$15:$F$45</definedName>
    <definedName name="_xlnm.Print_Area" localSheetId="8">potential_failure_DB!$A$15:$C$45</definedName>
    <definedName name="_xlnm.Print_Area" localSheetId="14">PREV_DB!$A$15:$F$45</definedName>
    <definedName name="_xlnm.Print_Area" localSheetId="15">PROT_DB!$A$14:$F$45</definedName>
    <definedName name="_xlnm.Print_Area" localSheetId="9">result_failure_DB!$A$15:$C$55</definedName>
    <definedName name="_xlnm.Print_Area" localSheetId="3">Title!$A$1:$A$53</definedName>
    <definedName name="_xlnm.Print_Titles" localSheetId="7">Assets_DB!$17:$17</definedName>
    <definedName name="_xlnm.Print_Titles" localSheetId="10">cause_failure_DB!$17:$17</definedName>
    <definedName name="_xlnm.Print_Titles" localSheetId="13">DISS_DB!$17:$17</definedName>
    <definedName name="_xlnm.Print_Titles" localSheetId="4">FMEA!$17:$17</definedName>
    <definedName name="_xlnm.Print_Titles" localSheetId="11">MEHARI!$16:$17</definedName>
    <definedName name="_xlnm.Print_Titles" localSheetId="16">PALL_DB!$17:$17</definedName>
    <definedName name="_xlnm.Print_Titles" localSheetId="8">potential_failure_DB!$17:$17</definedName>
    <definedName name="_xlnm.Print_Titles" localSheetId="14">PREV_DB!$17:$17</definedName>
    <definedName name="_xlnm.Print_Titles" localSheetId="15">PROT_DB!$17:$17</definedName>
    <definedName name="_xlnm.Print_Titles" localSheetId="9">result_failure_DB!$17:$17</definedName>
    <definedName name="FMEA_1st">FMEA!$C$4</definedName>
    <definedName name="FMEA_column">FMEA!$C$6</definedName>
    <definedName name="FMEA_duplicates">FMEA!$C$9</definedName>
    <definedName name="FMEA_First">FMEA!$C$4</definedName>
    <definedName name="FMEA_last">FMEA!$C$5</definedName>
    <definedName name="FMEA_occurence_matrix">FMEA!$C$7</definedName>
    <definedName name="FMEA_severity_matrix">FMEA!$C$8</definedName>
    <definedName name="FMEA_Short_Long">FMEA!$C$14</definedName>
    <definedName name="Footer_center">global_Settings!$F$8</definedName>
    <definedName name="Footer_left">global_Settings!$F$7</definedName>
    <definedName name="Footer_right">global_Settings!$F$9</definedName>
    <definedName name="Header_center">global_Settings!$F$5</definedName>
    <definedName name="Header_left">global_Settings!$F$4</definedName>
    <definedName name="Header_right">global_Settings!$F$6</definedName>
    <definedName name="insomeCircumstances">global_Settings!$B$22</definedName>
    <definedName name="Language_chosen">global_Settings!$E$2</definedName>
    <definedName name="LANGUAGE_DB">'LANGUAGE-D-E'!$A:$D</definedName>
    <definedName name="M_accident">Grids!$B$79</definedName>
    <definedName name="M_DISS_DB">DISS_DB!$A$18:$F$45</definedName>
    <definedName name="M_error">Grids!$B$80</definedName>
    <definedName name="M_Grid_DB_Impact">Grids!$AD$87:$AE$230</definedName>
    <definedName name="M_Grid_DB_Likelihood">Grids!$A$86:$E$183</definedName>
    <definedName name="M_PALL_DB">PALL_DB!$A$18:$F$45</definedName>
    <definedName name="M_PREV_DB">PREV_DB!$A$18:$F$45</definedName>
    <definedName name="M_PROT_DB">PROT_DB!$A$18:$F$45</definedName>
    <definedName name="M_Scenario_DB">Grids!$A$79:$B$81</definedName>
    <definedName name="M_Scenrio_CIA">Grids!$A$73:$B$75</definedName>
    <definedName name="M_voluntary_action">Grids!$B$81</definedName>
    <definedName name="MEHARI_1st">MEHARI!$D$7</definedName>
    <definedName name="MEHARI_column">MEHARI!$D$9</definedName>
    <definedName name="MEHARI_duplicates_a">MEHARI!$H$9</definedName>
    <definedName name="MEHARI_duplicates_b">MEHARI!$H$8</definedName>
    <definedName name="MEHARI_First">MEHARI!$D$7</definedName>
    <definedName name="MEHARI_last">MEHARI!$D$8</definedName>
    <definedName name="MEHARI_occurence_matrix_a">MEHARI!$H$7</definedName>
    <definedName name="MEHARI_occurence_matrix_b">MEHARI!$H$6</definedName>
    <definedName name="MEHARI_Short_Long">MEHARI!$D$6</definedName>
    <definedName name="NO">global_Settings!$F$14</definedName>
    <definedName name="potential_failure_DB">potential_failure_DB!$A$18:$C$50</definedName>
    <definedName name="result_failure_DB">result_failure_DB!$A$18:$C$73</definedName>
    <definedName name="Risk_Acceptance_DB">global_Settings!$C$50:$C$57</definedName>
    <definedName name="Risk_Decrease">global_Settings!$B$24</definedName>
    <definedName name="Risk_increase">global_Settings!$B$23</definedName>
    <definedName name="YES">global_Settings!$F$13</definedName>
    <definedName name="Yes_No_DB">global_Settings!$E$13:$E$14</definedName>
  </definedNames>
  <calcPr calcId="152511" calcMode="autoNoTable" concurrentCalc="0"/>
  <extLst>
    <ext xmlns:mx="http://schemas.microsoft.com/office/mac/excel/2008/main" uri="{7523E5D3-25F3-A5E0-1632-64F254C22452}">
      <mx:ArchID Flags="2"/>
    </ext>
  </extLst>
</workbook>
</file>

<file path=xl/calcChain.xml><?xml version="1.0" encoding="utf-8"?>
<calcChain xmlns="http://schemas.openxmlformats.org/spreadsheetml/2006/main">
  <c r="W25" i="1" l="1"/>
  <c r="W19" i="1"/>
  <c r="W18" i="1"/>
  <c r="X31" i="1"/>
  <c r="W31" i="1"/>
  <c r="X30" i="1"/>
  <c r="W30" i="1"/>
  <c r="X29" i="1"/>
  <c r="W29" i="1"/>
  <c r="X28" i="1"/>
  <c r="W28" i="1"/>
  <c r="X27" i="1"/>
  <c r="W27" i="1"/>
  <c r="X26" i="1"/>
  <c r="W26" i="1"/>
  <c r="X25" i="1"/>
  <c r="X24" i="1"/>
  <c r="W24" i="1"/>
  <c r="X23" i="1"/>
  <c r="W23" i="1"/>
  <c r="X22" i="1"/>
  <c r="W22" i="1"/>
  <c r="X21" i="1"/>
  <c r="W21" i="1"/>
  <c r="X20" i="1"/>
  <c r="W20" i="1"/>
  <c r="X19" i="1"/>
  <c r="X18" i="1"/>
  <c r="AI18" i="24"/>
  <c r="AI21" i="24"/>
  <c r="AI20" i="24"/>
  <c r="AI19" i="24"/>
  <c r="AF19" i="24"/>
  <c r="AF21" i="24"/>
  <c r="AF20" i="24"/>
  <c r="AF18" i="24"/>
  <c r="H18" i="24"/>
  <c r="T18" i="24"/>
  <c r="V18" i="24"/>
  <c r="R18" i="24"/>
  <c r="M18" i="24"/>
  <c r="H21" i="24"/>
  <c r="T21" i="24"/>
  <c r="V21" i="24"/>
  <c r="R21" i="24"/>
  <c r="M21" i="24"/>
  <c r="H20" i="24"/>
  <c r="T20" i="24"/>
  <c r="V20" i="24"/>
  <c r="R20" i="24"/>
  <c r="M20" i="24"/>
  <c r="H19" i="24"/>
  <c r="T19" i="24"/>
  <c r="V19" i="24"/>
  <c r="R19" i="24"/>
  <c r="M19" i="24"/>
  <c r="B19" i="24"/>
  <c r="B25" i="1"/>
  <c r="C19" i="24"/>
  <c r="D20" i="29"/>
  <c r="F20" i="29"/>
  <c r="Z18" i="24"/>
  <c r="AB18" i="24"/>
  <c r="W18" i="24"/>
  <c r="N18" i="24"/>
  <c r="AJ18" i="24"/>
  <c r="D21" i="29"/>
  <c r="F21" i="29"/>
  <c r="Z19" i="24"/>
  <c r="AB19" i="24"/>
  <c r="W19" i="24"/>
  <c r="N19" i="24"/>
  <c r="AJ19" i="24"/>
  <c r="Z20" i="24"/>
  <c r="AB20" i="24"/>
  <c r="W20" i="24"/>
  <c r="N20" i="24"/>
  <c r="AJ20" i="24"/>
  <c r="Z21" i="24"/>
  <c r="AB21" i="24"/>
  <c r="W21" i="24"/>
  <c r="N21" i="24"/>
  <c r="AJ21" i="24"/>
  <c r="Z22" i="24"/>
  <c r="AB22" i="24"/>
  <c r="W22" i="24"/>
  <c r="N22" i="24"/>
  <c r="AJ22" i="24"/>
  <c r="Z23" i="24"/>
  <c r="AB23" i="24"/>
  <c r="W23" i="24"/>
  <c r="N23" i="24"/>
  <c r="AJ23" i="24"/>
  <c r="Z24" i="24"/>
  <c r="AB24" i="24"/>
  <c r="W24" i="24"/>
  <c r="N24" i="24"/>
  <c r="AJ24" i="24"/>
  <c r="Z25" i="24"/>
  <c r="AB25" i="24"/>
  <c r="W25" i="24"/>
  <c r="N25" i="24"/>
  <c r="AJ25" i="24"/>
  <c r="Z26" i="24"/>
  <c r="AB26" i="24"/>
  <c r="W26" i="24"/>
  <c r="N26" i="24"/>
  <c r="AJ26" i="24"/>
  <c r="Z27" i="24"/>
  <c r="AB27" i="24"/>
  <c r="W27" i="24"/>
  <c r="N27" i="24"/>
  <c r="AJ27" i="24"/>
  <c r="Z28" i="24"/>
  <c r="AB28" i="24"/>
  <c r="W28" i="24"/>
  <c r="N28" i="24"/>
  <c r="AJ28" i="24"/>
  <c r="Z29" i="24"/>
  <c r="AB29" i="24"/>
  <c r="W29" i="24"/>
  <c r="N29" i="24"/>
  <c r="AJ29" i="24"/>
  <c r="Z30" i="24"/>
  <c r="AB30" i="24"/>
  <c r="W30" i="24"/>
  <c r="N30" i="24"/>
  <c r="AJ30" i="24"/>
  <c r="Z31" i="24"/>
  <c r="AB31" i="24"/>
  <c r="W31" i="24"/>
  <c r="N31" i="24"/>
  <c r="AJ31" i="24"/>
  <c r="Z32" i="24"/>
  <c r="AB32" i="24"/>
  <c r="W32" i="24"/>
  <c r="N32" i="24"/>
  <c r="AJ32" i="24"/>
  <c r="Z33" i="24"/>
  <c r="AB33" i="24"/>
  <c r="W33" i="24"/>
  <c r="N33" i="24"/>
  <c r="AJ33" i="24"/>
  <c r="Z34" i="24"/>
  <c r="AB34" i="24"/>
  <c r="W34" i="24"/>
  <c r="N34" i="24"/>
  <c r="AJ34" i="24"/>
  <c r="Z35" i="24"/>
  <c r="AB35" i="24"/>
  <c r="W35" i="24"/>
  <c r="N35" i="24"/>
  <c r="AJ35" i="24"/>
  <c r="Z36" i="24"/>
  <c r="AB36" i="24"/>
  <c r="W36" i="24"/>
  <c r="N36" i="24"/>
  <c r="AJ36" i="24"/>
  <c r="Z37" i="24"/>
  <c r="AB37" i="24"/>
  <c r="W37" i="24"/>
  <c r="N37" i="24"/>
  <c r="AJ37" i="24"/>
  <c r="Z38" i="24"/>
  <c r="AB38" i="24"/>
  <c r="W38" i="24"/>
  <c r="N38" i="24"/>
  <c r="AJ38" i="24"/>
  <c r="Z39" i="24"/>
  <c r="AB39" i="24"/>
  <c r="W39" i="24"/>
  <c r="N39" i="24"/>
  <c r="AJ39" i="24"/>
  <c r="AG19" i="24"/>
  <c r="AG20" i="24"/>
  <c r="AG21" i="24"/>
  <c r="AG22" i="24"/>
  <c r="AG23" i="24"/>
  <c r="AG24" i="24"/>
  <c r="AG25" i="24"/>
  <c r="AG26" i="24"/>
  <c r="AG27" i="24"/>
  <c r="AG28" i="24"/>
  <c r="AG29" i="24"/>
  <c r="AG30" i="24"/>
  <c r="AG31" i="24"/>
  <c r="AG32" i="24"/>
  <c r="AG33" i="24"/>
  <c r="AG34" i="24"/>
  <c r="AG35" i="24"/>
  <c r="AG36" i="24"/>
  <c r="AG37" i="24"/>
  <c r="AG38" i="24"/>
  <c r="AG39" i="24"/>
  <c r="D7" i="24"/>
  <c r="B31" i="1"/>
  <c r="C21" i="24"/>
  <c r="B21" i="24"/>
  <c r="B40" i="15"/>
  <c r="B29" i="1"/>
  <c r="C20" i="24"/>
  <c r="B20" i="24"/>
  <c r="B26" i="1"/>
  <c r="B22" i="1"/>
  <c r="C18" i="24"/>
  <c r="B18" i="24"/>
  <c r="A19" i="24"/>
  <c r="AE19" i="24"/>
  <c r="A20" i="24"/>
  <c r="AE20" i="24"/>
  <c r="A21" i="24"/>
  <c r="AE21" i="24"/>
  <c r="AE22" i="24"/>
  <c r="AE23" i="24"/>
  <c r="AE24" i="24"/>
  <c r="AE25" i="24"/>
  <c r="AE26" i="24"/>
  <c r="AE27" i="24"/>
  <c r="AE28" i="24"/>
  <c r="AE29" i="24"/>
  <c r="AE30" i="24"/>
  <c r="AE31" i="24"/>
  <c r="AE32" i="24"/>
  <c r="AE33" i="24"/>
  <c r="AE34" i="24"/>
  <c r="AE35" i="24"/>
  <c r="AE36" i="24"/>
  <c r="AE37" i="24"/>
  <c r="AE38" i="24"/>
  <c r="AE39" i="24"/>
  <c r="A18" i="24"/>
  <c r="AE18" i="24"/>
  <c r="AD19" i="24"/>
  <c r="AD20" i="24"/>
  <c r="AD21" i="24"/>
  <c r="AD22" i="24"/>
  <c r="AD23" i="24"/>
  <c r="AD24" i="24"/>
  <c r="AD25" i="24"/>
  <c r="AD26" i="24"/>
  <c r="AD27" i="24"/>
  <c r="AD28" i="24"/>
  <c r="AD29" i="24"/>
  <c r="AD30" i="24"/>
  <c r="AD31" i="24"/>
  <c r="AD32" i="24"/>
  <c r="AD33" i="24"/>
  <c r="AD34" i="24"/>
  <c r="AD35" i="24"/>
  <c r="AD36" i="24"/>
  <c r="AD37" i="24"/>
  <c r="AD38" i="24"/>
  <c r="AD39" i="24"/>
  <c r="AD18" i="24"/>
  <c r="AA19" i="1"/>
  <c r="AA20" i="1"/>
  <c r="AA21" i="1"/>
  <c r="AA22" i="1"/>
  <c r="AA23" i="1"/>
  <c r="AA24" i="1"/>
  <c r="AA25" i="1"/>
  <c r="AA26" i="1"/>
  <c r="AA27" i="1"/>
  <c r="AA28" i="1"/>
  <c r="AA29" i="1"/>
  <c r="AA30" i="1"/>
  <c r="AA31" i="1"/>
  <c r="AA32" i="1"/>
  <c r="AA33" i="1"/>
  <c r="AA34" i="1"/>
  <c r="AA35" i="1"/>
  <c r="AA36" i="1"/>
  <c r="AA37" i="1"/>
  <c r="AA18" i="1"/>
  <c r="H39" i="24"/>
  <c r="T39" i="24"/>
  <c r="V39" i="24"/>
  <c r="R39" i="24"/>
  <c r="M39" i="24"/>
  <c r="H38" i="24"/>
  <c r="T38" i="24"/>
  <c r="V38" i="24"/>
  <c r="R38" i="24"/>
  <c r="M38" i="24"/>
  <c r="H37" i="24"/>
  <c r="T37" i="24"/>
  <c r="V37" i="24"/>
  <c r="R37" i="24"/>
  <c r="M37" i="24"/>
  <c r="H36" i="24"/>
  <c r="T36" i="24"/>
  <c r="V36" i="24"/>
  <c r="R36" i="24"/>
  <c r="M36" i="24"/>
  <c r="H35" i="24"/>
  <c r="T35" i="24"/>
  <c r="V35" i="24"/>
  <c r="R35" i="24"/>
  <c r="M35" i="24"/>
  <c r="H34" i="24"/>
  <c r="T34" i="24"/>
  <c r="V34" i="24"/>
  <c r="R34" i="24"/>
  <c r="M34" i="24"/>
  <c r="H33" i="24"/>
  <c r="T33" i="24"/>
  <c r="V33" i="24"/>
  <c r="R33" i="24"/>
  <c r="M33" i="24"/>
  <c r="H32" i="24"/>
  <c r="T32" i="24"/>
  <c r="V32" i="24"/>
  <c r="R32" i="24"/>
  <c r="M32" i="24"/>
  <c r="H31" i="24"/>
  <c r="T31" i="24"/>
  <c r="V31" i="24"/>
  <c r="R31" i="24"/>
  <c r="M31" i="24"/>
  <c r="H30" i="24"/>
  <c r="T30" i="24"/>
  <c r="V30" i="24"/>
  <c r="R30" i="24"/>
  <c r="M30" i="24"/>
  <c r="H29" i="24"/>
  <c r="T29" i="24"/>
  <c r="V29" i="24"/>
  <c r="R29" i="24"/>
  <c r="M29" i="24"/>
  <c r="H28" i="24"/>
  <c r="T28" i="24"/>
  <c r="V28" i="24"/>
  <c r="R28" i="24"/>
  <c r="M28" i="24"/>
  <c r="H27" i="24"/>
  <c r="T27" i="24"/>
  <c r="V27" i="24"/>
  <c r="R27" i="24"/>
  <c r="M27" i="24"/>
  <c r="H26" i="24"/>
  <c r="T26" i="24"/>
  <c r="V26" i="24"/>
  <c r="R26" i="24"/>
  <c r="M26" i="24"/>
  <c r="H25" i="24"/>
  <c r="T25" i="24"/>
  <c r="V25" i="24"/>
  <c r="R25" i="24"/>
  <c r="M25" i="24"/>
  <c r="H24" i="24"/>
  <c r="T24" i="24"/>
  <c r="V24" i="24"/>
  <c r="R24" i="24"/>
  <c r="M24" i="24"/>
  <c r="H23" i="24"/>
  <c r="T23" i="24"/>
  <c r="V23" i="24"/>
  <c r="R23" i="24"/>
  <c r="M23" i="24"/>
  <c r="H22" i="24"/>
  <c r="T22" i="24"/>
  <c r="V22" i="24"/>
  <c r="R22" i="24"/>
  <c r="M22" i="24"/>
  <c r="A31" i="29"/>
  <c r="A38" i="29"/>
  <c r="A42" i="29"/>
  <c r="A44" i="29"/>
  <c r="A18" i="29"/>
  <c r="A19" i="29"/>
  <c r="A20" i="29"/>
  <c r="A21" i="29"/>
  <c r="A22" i="29"/>
  <c r="A23" i="29"/>
  <c r="A24" i="29"/>
  <c r="A25" i="29"/>
  <c r="A26" i="29"/>
  <c r="A27" i="29"/>
  <c r="A28" i="29"/>
  <c r="A29" i="29"/>
  <c r="A30" i="29"/>
  <c r="A32" i="29"/>
  <c r="A33" i="29"/>
  <c r="A34" i="29"/>
  <c r="A35" i="29"/>
  <c r="A36" i="29"/>
  <c r="A37" i="29"/>
  <c r="A39" i="29"/>
  <c r="A40" i="29"/>
  <c r="A41" i="29"/>
  <c r="A43" i="29"/>
  <c r="A45" i="29"/>
  <c r="D24" i="28"/>
  <c r="F24" i="28"/>
  <c r="D20" i="25"/>
  <c r="B97" i="5"/>
  <c r="G17" i="1"/>
  <c r="X17" i="1"/>
  <c r="C4" i="1"/>
  <c r="A25" i="1"/>
  <c r="A26" i="1"/>
  <c r="A22" i="1"/>
  <c r="A29" i="1"/>
  <c r="F8" i="5"/>
  <c r="A28" i="1"/>
  <c r="Y28" i="1"/>
  <c r="Y18" i="1"/>
  <c r="Y19" i="1"/>
  <c r="Y20" i="1"/>
  <c r="Y21" i="1"/>
  <c r="Y22" i="1"/>
  <c r="Y23" i="1"/>
  <c r="Y24" i="1"/>
  <c r="Y25" i="1"/>
  <c r="Y26" i="1"/>
  <c r="Y27" i="1"/>
  <c r="Y29" i="1"/>
  <c r="Y30" i="1"/>
  <c r="Y31" i="1"/>
  <c r="Y32" i="1"/>
  <c r="Y33" i="1"/>
  <c r="Y34" i="1"/>
  <c r="Y35" i="1"/>
  <c r="Y36" i="1"/>
  <c r="Y37" i="1"/>
  <c r="Z28" i="1"/>
  <c r="B38" i="6"/>
  <c r="I28" i="1"/>
  <c r="H28" i="1"/>
  <c r="B51" i="19"/>
  <c r="B28" i="19"/>
  <c r="B33" i="19"/>
  <c r="E28" i="1"/>
  <c r="B46" i="16"/>
  <c r="B47" i="16"/>
  <c r="D28" i="1"/>
  <c r="B33" i="14"/>
  <c r="C28" i="1"/>
  <c r="B30" i="15"/>
  <c r="B28" i="1"/>
  <c r="A20" i="1"/>
  <c r="Z20" i="1"/>
  <c r="I20" i="1"/>
  <c r="H20" i="1"/>
  <c r="B45" i="19"/>
  <c r="B48" i="19"/>
  <c r="E20" i="1"/>
  <c r="B42" i="16"/>
  <c r="B44" i="16"/>
  <c r="D20" i="1"/>
  <c r="B32" i="14"/>
  <c r="C20" i="1"/>
  <c r="B18" i="15"/>
  <c r="B20" i="1"/>
  <c r="B79" i="23"/>
  <c r="B80" i="23"/>
  <c r="B81" i="23"/>
  <c r="B104" i="6"/>
  <c r="B96" i="5"/>
  <c r="B38" i="15"/>
  <c r="B33" i="15"/>
  <c r="B20" i="15"/>
  <c r="B39" i="6"/>
  <c r="I25" i="1"/>
  <c r="C44" i="16"/>
  <c r="C2" i="16"/>
  <c r="A44" i="16"/>
  <c r="C43" i="16"/>
  <c r="B43" i="16"/>
  <c r="A43" i="16"/>
  <c r="C46" i="16"/>
  <c r="A46" i="16"/>
  <c r="C45" i="16"/>
  <c r="B45" i="16"/>
  <c r="A45" i="16"/>
  <c r="C48" i="16"/>
  <c r="B48" i="16"/>
  <c r="A48" i="16"/>
  <c r="C47" i="16"/>
  <c r="A47" i="16"/>
  <c r="C50" i="16"/>
  <c r="B50" i="16"/>
  <c r="A50" i="16"/>
  <c r="C49" i="16"/>
  <c r="B49" i="16"/>
  <c r="A49" i="16"/>
  <c r="C52" i="16"/>
  <c r="B52" i="16"/>
  <c r="A52" i="16"/>
  <c r="C51" i="16"/>
  <c r="B51" i="16"/>
  <c r="A51" i="16"/>
  <c r="E30" i="1"/>
  <c r="D30" i="1"/>
  <c r="C30" i="1"/>
  <c r="B30" i="1"/>
  <c r="B53" i="19"/>
  <c r="E29" i="1"/>
  <c r="D29" i="1"/>
  <c r="C29" i="1"/>
  <c r="B46" i="19"/>
  <c r="C48" i="19"/>
  <c r="C2" i="19"/>
  <c r="A48" i="19"/>
  <c r="C47" i="19"/>
  <c r="B47" i="19"/>
  <c r="A47" i="19"/>
  <c r="C46" i="19"/>
  <c r="A46" i="19"/>
  <c r="C45" i="19"/>
  <c r="A45" i="19"/>
  <c r="C52" i="19"/>
  <c r="B52" i="19"/>
  <c r="A52" i="19"/>
  <c r="C51" i="19"/>
  <c r="A51" i="19"/>
  <c r="C50" i="19"/>
  <c r="B50" i="19"/>
  <c r="A50" i="19"/>
  <c r="C49" i="19"/>
  <c r="B49" i="19"/>
  <c r="A49" i="19"/>
  <c r="C54" i="19"/>
  <c r="B54" i="19"/>
  <c r="A54" i="19"/>
  <c r="C53" i="19"/>
  <c r="A53" i="19"/>
  <c r="C55" i="19"/>
  <c r="B55" i="19"/>
  <c r="A55" i="19"/>
  <c r="C43" i="19"/>
  <c r="B43" i="19"/>
  <c r="A43" i="19"/>
  <c r="C42" i="19"/>
  <c r="B42" i="19"/>
  <c r="A42" i="19"/>
  <c r="C41" i="19"/>
  <c r="B41" i="19"/>
  <c r="A41" i="19"/>
  <c r="C40" i="19"/>
  <c r="B40" i="19"/>
  <c r="A40" i="19"/>
  <c r="C39" i="19"/>
  <c r="B39" i="19"/>
  <c r="A39" i="19"/>
  <c r="Z22" i="1"/>
  <c r="I22" i="1"/>
  <c r="H22" i="1"/>
  <c r="A18" i="19"/>
  <c r="A19" i="19"/>
  <c r="A20" i="19"/>
  <c r="A21" i="19"/>
  <c r="B18" i="19"/>
  <c r="C18" i="19"/>
  <c r="B19" i="19"/>
  <c r="C19" i="19"/>
  <c r="B20" i="19"/>
  <c r="C20" i="19"/>
  <c r="B21" i="19"/>
  <c r="C21" i="19"/>
  <c r="A22" i="19"/>
  <c r="B22" i="19"/>
  <c r="C22" i="19"/>
  <c r="A23" i="19"/>
  <c r="B23" i="19"/>
  <c r="C23" i="19"/>
  <c r="A24" i="19"/>
  <c r="B24" i="19"/>
  <c r="C24" i="19"/>
  <c r="A25" i="19"/>
  <c r="B25" i="19"/>
  <c r="C25" i="19"/>
  <c r="A26" i="19"/>
  <c r="B26" i="19"/>
  <c r="C26" i="19"/>
  <c r="A27" i="19"/>
  <c r="B27" i="19"/>
  <c r="C27" i="19"/>
  <c r="A28" i="19"/>
  <c r="C28" i="19"/>
  <c r="A29" i="19"/>
  <c r="B29" i="19"/>
  <c r="C29" i="19"/>
  <c r="A30" i="19"/>
  <c r="B30" i="19"/>
  <c r="C30" i="19"/>
  <c r="A31" i="19"/>
  <c r="B31" i="19"/>
  <c r="C31" i="19"/>
  <c r="A32" i="19"/>
  <c r="B32" i="19"/>
  <c r="C32" i="19"/>
  <c r="A33" i="19"/>
  <c r="C33" i="19"/>
  <c r="A34" i="19"/>
  <c r="B34" i="19"/>
  <c r="C34" i="19"/>
  <c r="A35" i="19"/>
  <c r="B35" i="19"/>
  <c r="C35" i="19"/>
  <c r="A36" i="19"/>
  <c r="B36" i="19"/>
  <c r="C36" i="19"/>
  <c r="A37" i="19"/>
  <c r="B37" i="19"/>
  <c r="C37" i="19"/>
  <c r="A38" i="19"/>
  <c r="B38" i="19"/>
  <c r="C38" i="19"/>
  <c r="A44" i="19"/>
  <c r="B44" i="19"/>
  <c r="C44" i="19"/>
  <c r="A56" i="19"/>
  <c r="B56" i="19"/>
  <c r="C56" i="19"/>
  <c r="A57" i="19"/>
  <c r="B57" i="19"/>
  <c r="C57" i="19"/>
  <c r="E22" i="1"/>
  <c r="A18" i="16"/>
  <c r="B18" i="16"/>
  <c r="D22" i="1"/>
  <c r="B20" i="14"/>
  <c r="C22" i="1"/>
  <c r="B9" i="6"/>
  <c r="A15" i="15"/>
  <c r="B179" i="6"/>
  <c r="A15" i="28"/>
  <c r="K17" i="28"/>
  <c r="J17" i="28"/>
  <c r="B52" i="6"/>
  <c r="I17" i="28"/>
  <c r="B54" i="6"/>
  <c r="F17" i="28"/>
  <c r="B53" i="6"/>
  <c r="E17" i="28"/>
  <c r="D17" i="28"/>
  <c r="C17" i="28"/>
  <c r="B17" i="28"/>
  <c r="B42" i="6"/>
  <c r="A17" i="28"/>
  <c r="B178" i="6"/>
  <c r="A15" i="29"/>
  <c r="K17" i="29"/>
  <c r="J17" i="29"/>
  <c r="I17" i="29"/>
  <c r="F17" i="29"/>
  <c r="E17" i="29"/>
  <c r="D17" i="29"/>
  <c r="C17" i="29"/>
  <c r="B17" i="29"/>
  <c r="A17" i="29"/>
  <c r="B177" i="6"/>
  <c r="A15" i="25"/>
  <c r="K17" i="25"/>
  <c r="J17" i="25"/>
  <c r="I17" i="25"/>
  <c r="F17" i="25"/>
  <c r="E17" i="25"/>
  <c r="D17" i="25"/>
  <c r="C17" i="25"/>
  <c r="B17" i="25"/>
  <c r="A17" i="25"/>
  <c r="B176" i="6"/>
  <c r="K17" i="26"/>
  <c r="J17" i="26"/>
  <c r="B17" i="26"/>
  <c r="A15" i="26"/>
  <c r="D45" i="28"/>
  <c r="D44" i="28"/>
  <c r="D43" i="28"/>
  <c r="D42" i="28"/>
  <c r="D41" i="28"/>
  <c r="D40" i="28"/>
  <c r="D39" i="28"/>
  <c r="D38" i="28"/>
  <c r="D37" i="28"/>
  <c r="D36" i="28"/>
  <c r="D35" i="28"/>
  <c r="D34" i="28"/>
  <c r="D33" i="28"/>
  <c r="D32" i="28"/>
  <c r="D31" i="28"/>
  <c r="D30" i="28"/>
  <c r="D29" i="28"/>
  <c r="D28" i="28"/>
  <c r="D27" i="28"/>
  <c r="D26" i="28"/>
  <c r="D25" i="28"/>
  <c r="D23" i="28"/>
  <c r="D22" i="28"/>
  <c r="D21" i="28"/>
  <c r="D20" i="28"/>
  <c r="D19" i="28"/>
  <c r="D18" i="28"/>
  <c r="D45" i="29"/>
  <c r="D44" i="29"/>
  <c r="D43" i="29"/>
  <c r="D42" i="29"/>
  <c r="D41" i="29"/>
  <c r="D40" i="29"/>
  <c r="D39" i="29"/>
  <c r="D38" i="29"/>
  <c r="D37" i="29"/>
  <c r="D36" i="29"/>
  <c r="D35" i="29"/>
  <c r="D34" i="29"/>
  <c r="D33" i="29"/>
  <c r="D32" i="29"/>
  <c r="D31" i="29"/>
  <c r="D30" i="29"/>
  <c r="D29" i="29"/>
  <c r="D28" i="29"/>
  <c r="D27" i="29"/>
  <c r="D26" i="29"/>
  <c r="D25" i="29"/>
  <c r="D24" i="29"/>
  <c r="D23" i="29"/>
  <c r="D22" i="29"/>
  <c r="D19" i="29"/>
  <c r="D18" i="29"/>
  <c r="D45" i="25"/>
  <c r="D44" i="25"/>
  <c r="D43" i="25"/>
  <c r="D42" i="25"/>
  <c r="D41" i="25"/>
  <c r="D40" i="25"/>
  <c r="D39" i="25"/>
  <c r="D38" i="25"/>
  <c r="D37" i="25"/>
  <c r="D36" i="25"/>
  <c r="D35" i="25"/>
  <c r="D34" i="25"/>
  <c r="D33" i="25"/>
  <c r="D32" i="25"/>
  <c r="D31" i="25"/>
  <c r="D30" i="25"/>
  <c r="D29" i="25"/>
  <c r="D28" i="25"/>
  <c r="D27" i="25"/>
  <c r="D26" i="25"/>
  <c r="D25" i="25"/>
  <c r="D24" i="25"/>
  <c r="D23" i="25"/>
  <c r="D22" i="25"/>
  <c r="D21" i="25"/>
  <c r="D19" i="25"/>
  <c r="D18" i="25"/>
  <c r="D25" i="26"/>
  <c r="D26" i="26"/>
  <c r="D27" i="26"/>
  <c r="D28" i="26"/>
  <c r="D29" i="26"/>
  <c r="D30" i="26"/>
  <c r="D31" i="26"/>
  <c r="D32" i="26"/>
  <c r="D33" i="26"/>
  <c r="D34" i="26"/>
  <c r="D35" i="26"/>
  <c r="D36" i="26"/>
  <c r="D37" i="26"/>
  <c r="D38" i="26"/>
  <c r="D39" i="26"/>
  <c r="D40" i="26"/>
  <c r="D41" i="26"/>
  <c r="D42" i="26"/>
  <c r="D43" i="26"/>
  <c r="D44" i="26"/>
  <c r="D19" i="26"/>
  <c r="D20" i="26"/>
  <c r="D21" i="26"/>
  <c r="D22" i="26"/>
  <c r="D18" i="26"/>
  <c r="D45" i="26"/>
  <c r="D24" i="26"/>
  <c r="D23" i="26"/>
  <c r="I17" i="26"/>
  <c r="C2" i="26"/>
  <c r="A31" i="26"/>
  <c r="A24" i="26"/>
  <c r="A20" i="26"/>
  <c r="A18" i="26"/>
  <c r="B18" i="26"/>
  <c r="A19" i="26"/>
  <c r="A21" i="26"/>
  <c r="A22" i="26"/>
  <c r="A23" i="26"/>
  <c r="A25" i="26"/>
  <c r="A26" i="26"/>
  <c r="A27" i="26"/>
  <c r="A28" i="26"/>
  <c r="A29" i="26"/>
  <c r="A30" i="26"/>
  <c r="A32" i="26"/>
  <c r="A33" i="26"/>
  <c r="A34" i="26"/>
  <c r="A35" i="26"/>
  <c r="A36" i="26"/>
  <c r="A37" i="26"/>
  <c r="A38" i="26"/>
  <c r="A39" i="26"/>
  <c r="A40" i="26"/>
  <c r="A41" i="26"/>
  <c r="A42" i="26"/>
  <c r="A43" i="26"/>
  <c r="A44" i="26"/>
  <c r="A45" i="26"/>
  <c r="F18" i="26"/>
  <c r="C2" i="25"/>
  <c r="A31" i="25"/>
  <c r="A24" i="25"/>
  <c r="A20" i="25"/>
  <c r="A18" i="25"/>
  <c r="A19" i="25"/>
  <c r="A21" i="25"/>
  <c r="A22" i="25"/>
  <c r="A23" i="25"/>
  <c r="A25" i="25"/>
  <c r="A26" i="25"/>
  <c r="A27" i="25"/>
  <c r="A28" i="25"/>
  <c r="A29" i="25"/>
  <c r="A30" i="25"/>
  <c r="A32" i="25"/>
  <c r="A33" i="25"/>
  <c r="A34" i="25"/>
  <c r="A35" i="25"/>
  <c r="A36" i="25"/>
  <c r="A37" i="25"/>
  <c r="A38" i="25"/>
  <c r="A39" i="25"/>
  <c r="A40" i="25"/>
  <c r="A41" i="25"/>
  <c r="A42" i="25"/>
  <c r="A43" i="25"/>
  <c r="A44" i="25"/>
  <c r="A45" i="25"/>
  <c r="F18" i="25"/>
  <c r="B180" i="6"/>
  <c r="B181" i="6"/>
  <c r="B182" i="6"/>
  <c r="B183" i="6"/>
  <c r="B184" i="6"/>
  <c r="B21" i="26"/>
  <c r="B22" i="26"/>
  <c r="B23" i="26"/>
  <c r="B24" i="26"/>
  <c r="B25" i="26"/>
  <c r="B26" i="26"/>
  <c r="B27" i="26"/>
  <c r="B28" i="26"/>
  <c r="B29" i="26"/>
  <c r="B30" i="26"/>
  <c r="B31" i="26"/>
  <c r="B32" i="26"/>
  <c r="B33" i="26"/>
  <c r="B34" i="26"/>
  <c r="B35" i="26"/>
  <c r="B36" i="26"/>
  <c r="B37" i="26"/>
  <c r="B38" i="26"/>
  <c r="B39" i="26"/>
  <c r="B40" i="26"/>
  <c r="B41" i="26"/>
  <c r="B42" i="26"/>
  <c r="B43" i="26"/>
  <c r="B44" i="26"/>
  <c r="B175" i="6"/>
  <c r="I17" i="24"/>
  <c r="B174" i="6"/>
  <c r="H17" i="24"/>
  <c r="B173" i="6"/>
  <c r="G17" i="24"/>
  <c r="B172" i="6"/>
  <c r="F17" i="24"/>
  <c r="B171" i="6"/>
  <c r="E17" i="24"/>
  <c r="B170" i="6"/>
  <c r="D17" i="24"/>
  <c r="B169" i="6"/>
  <c r="C17" i="24"/>
  <c r="B36" i="15"/>
  <c r="B21" i="1"/>
  <c r="A21" i="1"/>
  <c r="C2" i="28"/>
  <c r="A31" i="28"/>
  <c r="A32" i="28"/>
  <c r="A33" i="28"/>
  <c r="A34" i="28"/>
  <c r="A18" i="28"/>
  <c r="B18" i="28"/>
  <c r="C18" i="28"/>
  <c r="F18" i="28"/>
  <c r="A19" i="28"/>
  <c r="B19" i="28"/>
  <c r="C19" i="28"/>
  <c r="F19" i="28"/>
  <c r="A20" i="28"/>
  <c r="B20" i="28"/>
  <c r="C20" i="28"/>
  <c r="F20" i="28"/>
  <c r="A21" i="28"/>
  <c r="B21" i="28"/>
  <c r="C21" i="28"/>
  <c r="F21" i="28"/>
  <c r="A22" i="28"/>
  <c r="B22" i="28"/>
  <c r="C22" i="28"/>
  <c r="F22" i="28"/>
  <c r="A23" i="28"/>
  <c r="B23" i="28"/>
  <c r="C23" i="28"/>
  <c r="F23" i="28"/>
  <c r="A24" i="28"/>
  <c r="B24" i="28"/>
  <c r="C24" i="28"/>
  <c r="A25" i="28"/>
  <c r="B25" i="28"/>
  <c r="C25" i="28"/>
  <c r="F25" i="28"/>
  <c r="A26" i="28"/>
  <c r="B26" i="28"/>
  <c r="C26" i="28"/>
  <c r="F26" i="28"/>
  <c r="A27" i="28"/>
  <c r="B27" i="28"/>
  <c r="C27" i="28"/>
  <c r="F27" i="28"/>
  <c r="A28" i="28"/>
  <c r="B28" i="28"/>
  <c r="C28" i="28"/>
  <c r="F28" i="28"/>
  <c r="A29" i="28"/>
  <c r="B29" i="28"/>
  <c r="C29" i="28"/>
  <c r="F29" i="28"/>
  <c r="A30" i="28"/>
  <c r="B30" i="28"/>
  <c r="C30" i="28"/>
  <c r="F30" i="28"/>
  <c r="B31" i="28"/>
  <c r="C31" i="28"/>
  <c r="F31" i="28"/>
  <c r="B32" i="28"/>
  <c r="C32" i="28"/>
  <c r="F32" i="28"/>
  <c r="B33" i="28"/>
  <c r="C33" i="28"/>
  <c r="F33" i="28"/>
  <c r="B34" i="28"/>
  <c r="C34" i="28"/>
  <c r="F34" i="28"/>
  <c r="A35" i="28"/>
  <c r="B35" i="28"/>
  <c r="C35" i="28"/>
  <c r="F35" i="28"/>
  <c r="A36" i="28"/>
  <c r="B36" i="28"/>
  <c r="C36" i="28"/>
  <c r="F36" i="28"/>
  <c r="A37" i="28"/>
  <c r="B37" i="28"/>
  <c r="C37" i="28"/>
  <c r="F37" i="28"/>
  <c r="A38" i="28"/>
  <c r="B38" i="28"/>
  <c r="C38" i="28"/>
  <c r="F38" i="28"/>
  <c r="A39" i="28"/>
  <c r="B39" i="28"/>
  <c r="C39" i="28"/>
  <c r="F39" i="28"/>
  <c r="A40" i="28"/>
  <c r="B40" i="28"/>
  <c r="C40" i="28"/>
  <c r="F40" i="28"/>
  <c r="A41" i="28"/>
  <c r="B41" i="28"/>
  <c r="C41" i="28"/>
  <c r="F41" i="28"/>
  <c r="A42" i="28"/>
  <c r="B42" i="28"/>
  <c r="C42" i="28"/>
  <c r="F42" i="28"/>
  <c r="A43" i="28"/>
  <c r="B43" i="28"/>
  <c r="C43" i="28"/>
  <c r="F43" i="28"/>
  <c r="A44" i="28"/>
  <c r="B44" i="28"/>
  <c r="C44" i="28"/>
  <c r="F44" i="28"/>
  <c r="A45" i="28"/>
  <c r="B45" i="28"/>
  <c r="C45" i="28"/>
  <c r="F45" i="28"/>
  <c r="C2" i="29"/>
  <c r="F18" i="29"/>
  <c r="A18" i="1"/>
  <c r="A19" i="1"/>
  <c r="A24" i="1"/>
  <c r="A27" i="1"/>
  <c r="A23" i="1"/>
  <c r="F13" i="5"/>
  <c r="E13" i="5"/>
  <c r="F14" i="5"/>
  <c r="E14" i="5"/>
  <c r="B24" i="6"/>
  <c r="A15" i="14"/>
  <c r="A22" i="24"/>
  <c r="F19" i="26"/>
  <c r="F20" i="25"/>
  <c r="AG18" i="24"/>
  <c r="AH22" i="24"/>
  <c r="F19" i="29"/>
  <c r="B18" i="29"/>
  <c r="C18" i="29"/>
  <c r="B19" i="29"/>
  <c r="C19" i="29"/>
  <c r="B20" i="29"/>
  <c r="C20" i="29"/>
  <c r="B21" i="29"/>
  <c r="C21" i="29"/>
  <c r="B22" i="29"/>
  <c r="C22" i="29"/>
  <c r="F22" i="29"/>
  <c r="B23" i="29"/>
  <c r="C23" i="29"/>
  <c r="F23" i="29"/>
  <c r="B24" i="29"/>
  <c r="C24" i="29"/>
  <c r="F24" i="29"/>
  <c r="B25" i="29"/>
  <c r="C25" i="29"/>
  <c r="F25" i="29"/>
  <c r="B26" i="29"/>
  <c r="C26" i="29"/>
  <c r="F26" i="29"/>
  <c r="B27" i="29"/>
  <c r="C27" i="29"/>
  <c r="F27" i="29"/>
  <c r="B28" i="29"/>
  <c r="C28" i="29"/>
  <c r="F28" i="29"/>
  <c r="B29" i="29"/>
  <c r="C29" i="29"/>
  <c r="F29" i="29"/>
  <c r="B30" i="29"/>
  <c r="C30" i="29"/>
  <c r="F30" i="29"/>
  <c r="B31" i="29"/>
  <c r="C31" i="29"/>
  <c r="F31" i="29"/>
  <c r="B32" i="29"/>
  <c r="C32" i="29"/>
  <c r="F32" i="29"/>
  <c r="B33" i="29"/>
  <c r="C33" i="29"/>
  <c r="F33" i="29"/>
  <c r="B34" i="29"/>
  <c r="C34" i="29"/>
  <c r="F34" i="29"/>
  <c r="B35" i="29"/>
  <c r="C35" i="29"/>
  <c r="F35" i="29"/>
  <c r="B36" i="29"/>
  <c r="C36" i="29"/>
  <c r="F36" i="29"/>
  <c r="B37" i="29"/>
  <c r="C37" i="29"/>
  <c r="F37" i="29"/>
  <c r="B38" i="29"/>
  <c r="C38" i="29"/>
  <c r="F38" i="29"/>
  <c r="B39" i="29"/>
  <c r="C39" i="29"/>
  <c r="F39" i="29"/>
  <c r="B40" i="29"/>
  <c r="C40" i="29"/>
  <c r="F40" i="29"/>
  <c r="B41" i="29"/>
  <c r="C41" i="29"/>
  <c r="F41" i="29"/>
  <c r="B42" i="29"/>
  <c r="C42" i="29"/>
  <c r="F42" i="29"/>
  <c r="B43" i="29"/>
  <c r="C43" i="29"/>
  <c r="F43" i="29"/>
  <c r="B44" i="29"/>
  <c r="C44" i="29"/>
  <c r="F44" i="29"/>
  <c r="B45" i="29"/>
  <c r="C45" i="29"/>
  <c r="F45" i="29"/>
  <c r="B20" i="25"/>
  <c r="D22" i="24"/>
  <c r="B19" i="26"/>
  <c r="E22" i="24"/>
  <c r="F22" i="24"/>
  <c r="G22" i="24"/>
  <c r="B15" i="6"/>
  <c r="B75" i="23"/>
  <c r="I22" i="24"/>
  <c r="B18" i="25"/>
  <c r="C18" i="25"/>
  <c r="B19" i="25"/>
  <c r="C19" i="25"/>
  <c r="F19" i="25"/>
  <c r="C20" i="25"/>
  <c r="B21" i="25"/>
  <c r="C21" i="25"/>
  <c r="F21" i="25"/>
  <c r="B22" i="25"/>
  <c r="C22" i="25"/>
  <c r="F22" i="25"/>
  <c r="B23" i="25"/>
  <c r="C23" i="25"/>
  <c r="F23" i="25"/>
  <c r="B24" i="25"/>
  <c r="C24" i="25"/>
  <c r="F24" i="25"/>
  <c r="B25" i="25"/>
  <c r="C25" i="25"/>
  <c r="F25" i="25"/>
  <c r="B26" i="25"/>
  <c r="C26" i="25"/>
  <c r="F26" i="25"/>
  <c r="B27" i="25"/>
  <c r="C27" i="25"/>
  <c r="F27" i="25"/>
  <c r="B28" i="25"/>
  <c r="C28" i="25"/>
  <c r="F28" i="25"/>
  <c r="B29" i="25"/>
  <c r="C29" i="25"/>
  <c r="F29" i="25"/>
  <c r="B30" i="25"/>
  <c r="C30" i="25"/>
  <c r="F30" i="25"/>
  <c r="B31" i="25"/>
  <c r="C31" i="25"/>
  <c r="F31" i="25"/>
  <c r="B32" i="25"/>
  <c r="C32" i="25"/>
  <c r="F32" i="25"/>
  <c r="B33" i="25"/>
  <c r="C33" i="25"/>
  <c r="F33" i="25"/>
  <c r="B34" i="25"/>
  <c r="C34" i="25"/>
  <c r="F34" i="25"/>
  <c r="B35" i="25"/>
  <c r="C35" i="25"/>
  <c r="F35" i="25"/>
  <c r="B36" i="25"/>
  <c r="C36" i="25"/>
  <c r="F36" i="25"/>
  <c r="B37" i="25"/>
  <c r="C37" i="25"/>
  <c r="F37" i="25"/>
  <c r="B38" i="25"/>
  <c r="C38" i="25"/>
  <c r="F38" i="25"/>
  <c r="B39" i="25"/>
  <c r="C39" i="25"/>
  <c r="F39" i="25"/>
  <c r="B40" i="25"/>
  <c r="C40" i="25"/>
  <c r="F40" i="25"/>
  <c r="B41" i="25"/>
  <c r="C41" i="25"/>
  <c r="F41" i="25"/>
  <c r="B42" i="25"/>
  <c r="C42" i="25"/>
  <c r="F42" i="25"/>
  <c r="B43" i="25"/>
  <c r="C43" i="25"/>
  <c r="F43" i="25"/>
  <c r="B44" i="25"/>
  <c r="C44" i="25"/>
  <c r="F44" i="25"/>
  <c r="B45" i="25"/>
  <c r="C45" i="25"/>
  <c r="F45" i="25"/>
  <c r="C18" i="26"/>
  <c r="C19" i="26"/>
  <c r="B20" i="26"/>
  <c r="C20" i="26"/>
  <c r="F20" i="26"/>
  <c r="C21" i="26"/>
  <c r="F21" i="26"/>
  <c r="C22" i="26"/>
  <c r="F22" i="26"/>
  <c r="C23" i="26"/>
  <c r="F23" i="26"/>
  <c r="C24" i="26"/>
  <c r="F24" i="26"/>
  <c r="C25" i="26"/>
  <c r="F25" i="26"/>
  <c r="C26" i="26"/>
  <c r="F26" i="26"/>
  <c r="C27" i="26"/>
  <c r="F27" i="26"/>
  <c r="C28" i="26"/>
  <c r="F28" i="26"/>
  <c r="C29" i="26"/>
  <c r="F29" i="26"/>
  <c r="C30" i="26"/>
  <c r="F30" i="26"/>
  <c r="C31" i="26"/>
  <c r="F31" i="26"/>
  <c r="C32" i="26"/>
  <c r="F32" i="26"/>
  <c r="C33" i="26"/>
  <c r="F33" i="26"/>
  <c r="C34" i="26"/>
  <c r="F34" i="26"/>
  <c r="C35" i="26"/>
  <c r="F35" i="26"/>
  <c r="C36" i="26"/>
  <c r="F36" i="26"/>
  <c r="C37" i="26"/>
  <c r="F37" i="26"/>
  <c r="C38" i="26"/>
  <c r="F38" i="26"/>
  <c r="C39" i="26"/>
  <c r="F39" i="26"/>
  <c r="C40" i="26"/>
  <c r="F40" i="26"/>
  <c r="C41" i="26"/>
  <c r="F41" i="26"/>
  <c r="C42" i="26"/>
  <c r="F42" i="26"/>
  <c r="C43" i="26"/>
  <c r="F43" i="26"/>
  <c r="C44" i="26"/>
  <c r="F44" i="26"/>
  <c r="B45" i="26"/>
  <c r="C45" i="26"/>
  <c r="F45" i="26"/>
  <c r="F21" i="24"/>
  <c r="F23" i="24"/>
  <c r="F24" i="24"/>
  <c r="F25" i="24"/>
  <c r="F26" i="24"/>
  <c r="F27" i="24"/>
  <c r="F28" i="24"/>
  <c r="F29" i="24"/>
  <c r="F30" i="24"/>
  <c r="F31" i="24"/>
  <c r="F32" i="24"/>
  <c r="F33" i="24"/>
  <c r="F34" i="24"/>
  <c r="F35" i="24"/>
  <c r="F36" i="24"/>
  <c r="F37" i="24"/>
  <c r="F38" i="24"/>
  <c r="F39" i="24"/>
  <c r="H7" i="24"/>
  <c r="H6" i="24"/>
  <c r="F18" i="24"/>
  <c r="B22" i="15"/>
  <c r="B21" i="15"/>
  <c r="B23" i="1"/>
  <c r="B19" i="15"/>
  <c r="H9" i="24"/>
  <c r="H8" i="24"/>
  <c r="B118" i="6"/>
  <c r="M17" i="24"/>
  <c r="AI17" i="24"/>
  <c r="F7" i="24"/>
  <c r="AH19" i="24"/>
  <c r="AH20" i="24"/>
  <c r="AH21" i="24"/>
  <c r="AH23" i="24"/>
  <c r="AH24" i="24"/>
  <c r="AH25" i="24"/>
  <c r="AH26" i="24"/>
  <c r="AH27" i="24"/>
  <c r="AH28" i="24"/>
  <c r="AH29" i="24"/>
  <c r="AH30" i="24"/>
  <c r="AH31" i="24"/>
  <c r="AH32" i="24"/>
  <c r="AH33" i="24"/>
  <c r="AH34" i="24"/>
  <c r="AH35" i="24"/>
  <c r="AH36" i="24"/>
  <c r="AH37" i="24"/>
  <c r="AH38" i="24"/>
  <c r="AH39" i="24"/>
  <c r="A25" i="24"/>
  <c r="A26" i="24"/>
  <c r="A27" i="24"/>
  <c r="A28" i="24"/>
  <c r="A29" i="24"/>
  <c r="A30" i="24"/>
  <c r="AH18" i="24"/>
  <c r="B149" i="6"/>
  <c r="AK17" i="24"/>
  <c r="O19" i="24"/>
  <c r="O20" i="24"/>
  <c r="O21" i="24"/>
  <c r="O22" i="24"/>
  <c r="O23" i="24"/>
  <c r="O24" i="24"/>
  <c r="L18" i="24"/>
  <c r="O25" i="24"/>
  <c r="O26" i="24"/>
  <c r="A24" i="24"/>
  <c r="A23" i="24"/>
  <c r="J17" i="24"/>
  <c r="AF17" i="24"/>
  <c r="F6" i="24"/>
  <c r="B121" i="6"/>
  <c r="O17" i="24"/>
  <c r="AH17" i="24"/>
  <c r="B141" i="6"/>
  <c r="Q17" i="24"/>
  <c r="B19" i="16"/>
  <c r="B20" i="16"/>
  <c r="A19" i="16"/>
  <c r="A20" i="16"/>
  <c r="D23" i="1"/>
  <c r="E23" i="1"/>
  <c r="B21" i="16"/>
  <c r="A21" i="16"/>
  <c r="A22" i="16"/>
  <c r="A23" i="16"/>
  <c r="B23" i="16"/>
  <c r="D18" i="1"/>
  <c r="E18" i="1"/>
  <c r="B22" i="16"/>
  <c r="D19" i="1"/>
  <c r="E19" i="1"/>
  <c r="B24" i="16"/>
  <c r="A24" i="16"/>
  <c r="A25" i="16"/>
  <c r="A26" i="16"/>
  <c r="A27" i="16"/>
  <c r="C18" i="16"/>
  <c r="C19" i="16"/>
  <c r="C20" i="16"/>
  <c r="C21" i="16"/>
  <c r="C22" i="16"/>
  <c r="C23" i="16"/>
  <c r="C24" i="16"/>
  <c r="B25" i="16"/>
  <c r="C25" i="16"/>
  <c r="B26" i="16"/>
  <c r="C26" i="16"/>
  <c r="B27" i="16"/>
  <c r="C27" i="16"/>
  <c r="A28" i="16"/>
  <c r="B28" i="16"/>
  <c r="C28" i="16"/>
  <c r="A29" i="16"/>
  <c r="B29" i="16"/>
  <c r="C29" i="16"/>
  <c r="A30" i="16"/>
  <c r="B30" i="16"/>
  <c r="C30" i="16"/>
  <c r="A31" i="16"/>
  <c r="B31" i="16"/>
  <c r="C31" i="16"/>
  <c r="A32" i="16"/>
  <c r="B32" i="16"/>
  <c r="C32" i="16"/>
  <c r="A33" i="16"/>
  <c r="B33" i="16"/>
  <c r="C33" i="16"/>
  <c r="A34" i="16"/>
  <c r="B34" i="16"/>
  <c r="C34" i="16"/>
  <c r="A35" i="16"/>
  <c r="B35" i="16"/>
  <c r="C35" i="16"/>
  <c r="A36" i="16"/>
  <c r="B36" i="16"/>
  <c r="C36" i="16"/>
  <c r="A37" i="16"/>
  <c r="B37" i="16"/>
  <c r="C37" i="16"/>
  <c r="A38" i="16"/>
  <c r="B38" i="16"/>
  <c r="C38" i="16"/>
  <c r="A39" i="16"/>
  <c r="B39" i="16"/>
  <c r="C39" i="16"/>
  <c r="A40" i="16"/>
  <c r="B40" i="16"/>
  <c r="C40" i="16"/>
  <c r="A41" i="16"/>
  <c r="B41" i="16"/>
  <c r="C41" i="16"/>
  <c r="A42" i="16"/>
  <c r="C42" i="16"/>
  <c r="A53" i="16"/>
  <c r="B53" i="16"/>
  <c r="C53" i="16"/>
  <c r="A54" i="16"/>
  <c r="B54" i="16"/>
  <c r="C54" i="16"/>
  <c r="A55" i="16"/>
  <c r="B55" i="16"/>
  <c r="C55" i="16"/>
  <c r="D24" i="1"/>
  <c r="E24" i="1"/>
  <c r="D25" i="1"/>
  <c r="E25" i="1"/>
  <c r="D26" i="1"/>
  <c r="E26" i="1"/>
  <c r="D27" i="1"/>
  <c r="E27" i="1"/>
  <c r="D31" i="1"/>
  <c r="E31" i="1"/>
  <c r="D32" i="1"/>
  <c r="E32" i="1"/>
  <c r="D33" i="1"/>
  <c r="E33" i="1"/>
  <c r="D34" i="1"/>
  <c r="E34" i="1"/>
  <c r="D35" i="1"/>
  <c r="E35" i="1"/>
  <c r="D36" i="1"/>
  <c r="E36" i="1"/>
  <c r="D37" i="1"/>
  <c r="E37" i="1"/>
  <c r="B18"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B19" i="14"/>
  <c r="B21" i="14"/>
  <c r="B22" i="14"/>
  <c r="C23" i="1"/>
  <c r="B23" i="14"/>
  <c r="C18" i="1"/>
  <c r="C19" i="1"/>
  <c r="B24" i="14"/>
  <c r="B26" i="14"/>
  <c r="C24" i="1"/>
  <c r="B25" i="14"/>
  <c r="B27" i="14"/>
  <c r="C25" i="1"/>
  <c r="B29" i="14"/>
  <c r="C26" i="1"/>
  <c r="B30" i="14"/>
  <c r="C27" i="1"/>
  <c r="C31" i="1"/>
  <c r="C32" i="1"/>
  <c r="C33" i="1"/>
  <c r="C34" i="1"/>
  <c r="C35" i="1"/>
  <c r="C36" i="1"/>
  <c r="C37" i="1"/>
  <c r="Z17" i="1"/>
  <c r="C8" i="1"/>
  <c r="B119" i="6"/>
  <c r="A8" i="1"/>
  <c r="C9" i="1"/>
  <c r="Z19" i="1"/>
  <c r="Z24" i="1"/>
  <c r="Z25" i="1"/>
  <c r="Z26" i="1"/>
  <c r="Z27" i="1"/>
  <c r="Z29" i="1"/>
  <c r="Z30" i="1"/>
  <c r="Z31" i="1"/>
  <c r="Z32" i="1"/>
  <c r="Z33" i="1"/>
  <c r="Z34" i="1"/>
  <c r="Z35" i="1"/>
  <c r="Z36" i="1"/>
  <c r="Z37" i="1"/>
  <c r="Z23" i="1"/>
  <c r="Z18" i="1"/>
  <c r="Z21" i="1"/>
  <c r="C7" i="1"/>
  <c r="A7" i="1"/>
  <c r="F17" i="1"/>
  <c r="H17" i="1"/>
  <c r="W17" i="1"/>
  <c r="C55" i="2"/>
  <c r="A49" i="2"/>
  <c r="B49" i="2"/>
  <c r="C51" i="2"/>
  <c r="C52" i="2"/>
  <c r="C53" i="2"/>
  <c r="C54" i="2"/>
  <c r="C56" i="2"/>
  <c r="C57" i="2"/>
  <c r="C58" i="2"/>
  <c r="C59" i="2"/>
  <c r="D51" i="2"/>
  <c r="D52" i="2"/>
  <c r="D53" i="2"/>
  <c r="D54" i="2"/>
  <c r="D55" i="2"/>
  <c r="D56" i="2"/>
  <c r="D57" i="2"/>
  <c r="D58" i="2"/>
  <c r="D59" i="2"/>
  <c r="A30" i="1"/>
  <c r="A31" i="1"/>
  <c r="A32" i="1"/>
  <c r="A33" i="1"/>
  <c r="A34" i="1"/>
  <c r="A35" i="1"/>
  <c r="A36" i="1"/>
  <c r="A37" i="1"/>
  <c r="C4" i="28"/>
  <c r="C2" i="14"/>
  <c r="C2" i="15"/>
  <c r="C4" i="16"/>
  <c r="C4" i="15"/>
  <c r="C4" i="25"/>
  <c r="C4" i="26"/>
  <c r="C4" i="29"/>
  <c r="B103" i="6"/>
  <c r="A4" i="25"/>
  <c r="A4" i="28"/>
  <c r="A4" i="26"/>
  <c r="A4" i="29"/>
  <c r="C4" i="19"/>
  <c r="A4" i="19"/>
  <c r="B102" i="6"/>
  <c r="C4" i="14"/>
  <c r="A4" i="14"/>
  <c r="A4" i="16"/>
  <c r="A4" i="15"/>
  <c r="C25" i="14"/>
  <c r="C26" i="14"/>
  <c r="C27" i="14"/>
  <c r="B28" i="14"/>
  <c r="C28" i="14"/>
  <c r="C29" i="14"/>
  <c r="C30" i="14"/>
  <c r="B31" i="14"/>
  <c r="C31" i="14"/>
  <c r="C32" i="14"/>
  <c r="C33" i="14"/>
  <c r="B34" i="14"/>
  <c r="C34" i="14"/>
  <c r="B35" i="14"/>
  <c r="C35" i="14"/>
  <c r="B36" i="14"/>
  <c r="C36" i="14"/>
  <c r="B37" i="14"/>
  <c r="C37" i="14"/>
  <c r="B38" i="14"/>
  <c r="C38" i="14"/>
  <c r="B39" i="14"/>
  <c r="C39" i="14"/>
  <c r="B40" i="14"/>
  <c r="C40" i="14"/>
  <c r="B41" i="14"/>
  <c r="C41" i="14"/>
  <c r="B42" i="14"/>
  <c r="C42" i="14"/>
  <c r="B43" i="14"/>
  <c r="C43" i="14"/>
  <c r="B44" i="14"/>
  <c r="C44" i="14"/>
  <c r="B45" i="14"/>
  <c r="C45" i="14"/>
  <c r="C25" i="15"/>
  <c r="C26" i="15"/>
  <c r="C27" i="15"/>
  <c r="C28" i="15"/>
  <c r="C29" i="15"/>
  <c r="C30" i="15"/>
  <c r="C31" i="15"/>
  <c r="C32" i="15"/>
  <c r="C33" i="15"/>
  <c r="C34" i="15"/>
  <c r="C35" i="15"/>
  <c r="C36" i="15"/>
  <c r="C37" i="15"/>
  <c r="C38" i="15"/>
  <c r="C39" i="15"/>
  <c r="C40" i="15"/>
  <c r="C41" i="15"/>
  <c r="C42" i="15"/>
  <c r="C43" i="15"/>
  <c r="C44" i="15"/>
  <c r="C45" i="15"/>
  <c r="A37" i="15"/>
  <c r="B37" i="15"/>
  <c r="A38" i="15"/>
  <c r="A39" i="15"/>
  <c r="B39" i="15"/>
  <c r="A40" i="15"/>
  <c r="A41" i="15"/>
  <c r="B41" i="15"/>
  <c r="A42" i="15"/>
  <c r="B42" i="15"/>
  <c r="A43" i="15"/>
  <c r="B43" i="15"/>
  <c r="B34" i="15"/>
  <c r="B35" i="15"/>
  <c r="B44" i="15"/>
  <c r="B45" i="15"/>
  <c r="B101" i="6"/>
  <c r="B90" i="5"/>
  <c r="B100" i="6"/>
  <c r="B99" i="6"/>
  <c r="B94" i="5"/>
  <c r="B93" i="5"/>
  <c r="B98" i="6"/>
  <c r="B92" i="5"/>
  <c r="B97" i="6"/>
  <c r="B91" i="5"/>
  <c r="A32" i="31"/>
  <c r="A51" i="31"/>
  <c r="A26" i="31"/>
  <c r="A49" i="31"/>
  <c r="A50" i="31"/>
  <c r="A29" i="31"/>
  <c r="A28" i="31"/>
  <c r="A27" i="31"/>
  <c r="A24" i="31"/>
  <c r="B96" i="6"/>
  <c r="B89" i="5"/>
  <c r="A31" i="24"/>
  <c r="A32" i="24"/>
  <c r="A33" i="24"/>
  <c r="A34" i="24"/>
  <c r="A35" i="24"/>
  <c r="A36" i="24"/>
  <c r="A37" i="24"/>
  <c r="A38" i="24"/>
  <c r="A39" i="24"/>
  <c r="L22" i="24"/>
  <c r="G20" i="24"/>
  <c r="G21" i="24"/>
  <c r="G23" i="24"/>
  <c r="G24" i="24"/>
  <c r="G25" i="24"/>
  <c r="G26" i="24"/>
  <c r="G27" i="24"/>
  <c r="G28" i="24"/>
  <c r="G29" i="24"/>
  <c r="G30" i="24"/>
  <c r="G31" i="24"/>
  <c r="G32" i="24"/>
  <c r="G33" i="24"/>
  <c r="G34" i="24"/>
  <c r="G35" i="24"/>
  <c r="G36" i="24"/>
  <c r="G37" i="24"/>
  <c r="G38" i="24"/>
  <c r="G39" i="24"/>
  <c r="B93" i="6"/>
  <c r="F7" i="5"/>
  <c r="F4" i="5"/>
  <c r="B57" i="6"/>
  <c r="B95" i="6"/>
  <c r="E8" i="5"/>
  <c r="B56" i="6"/>
  <c r="E5" i="5"/>
  <c r="B89" i="6"/>
  <c r="E9" i="5"/>
  <c r="B92" i="6"/>
  <c r="B91" i="6"/>
  <c r="F9" i="5"/>
  <c r="B94" i="6"/>
  <c r="B88" i="5"/>
  <c r="B90" i="6"/>
  <c r="A1" i="5"/>
  <c r="B88" i="6"/>
  <c r="E7" i="5"/>
  <c r="E4" i="5"/>
  <c r="E6" i="5"/>
  <c r="B168" i="6"/>
  <c r="B87" i="5"/>
  <c r="B55" i="6"/>
  <c r="B86" i="5"/>
  <c r="B43" i="6"/>
  <c r="O17" i="2"/>
  <c r="F17" i="26"/>
  <c r="E17" i="26"/>
  <c r="D17" i="26"/>
  <c r="B58" i="6"/>
  <c r="B167" i="6"/>
  <c r="B85" i="5"/>
  <c r="B148" i="6"/>
  <c r="B84" i="5"/>
  <c r="B44" i="6"/>
  <c r="B83" i="5"/>
  <c r="B166" i="6"/>
  <c r="A3" i="12"/>
  <c r="B133" i="6"/>
  <c r="B4" i="2"/>
  <c r="B165" i="6"/>
  <c r="B82" i="5"/>
  <c r="B116" i="6"/>
  <c r="B81" i="5"/>
  <c r="B164" i="6"/>
  <c r="B23" i="6"/>
  <c r="B80" i="5"/>
  <c r="B22" i="6"/>
  <c r="B79" i="5"/>
  <c r="B21" i="6"/>
  <c r="B78" i="5"/>
  <c r="I18" i="24"/>
  <c r="B20" i="6"/>
  <c r="B77" i="5"/>
  <c r="B18" i="6"/>
  <c r="D9" i="24"/>
  <c r="B19" i="6"/>
  <c r="B76" i="5"/>
  <c r="C6" i="1"/>
  <c r="B75" i="5"/>
  <c r="B17" i="6"/>
  <c r="B74" i="5"/>
  <c r="B16" i="6"/>
  <c r="B73" i="5"/>
  <c r="D19" i="24"/>
  <c r="E19" i="24"/>
  <c r="F19" i="24"/>
  <c r="G19" i="24"/>
  <c r="B14" i="6"/>
  <c r="B74" i="23"/>
  <c r="I19" i="24"/>
  <c r="L19" i="24"/>
  <c r="D20" i="24"/>
  <c r="E20" i="24"/>
  <c r="F20" i="24"/>
  <c r="I20" i="24"/>
  <c r="L20" i="24"/>
  <c r="D21" i="24"/>
  <c r="E21" i="24"/>
  <c r="B13" i="6"/>
  <c r="B73" i="23"/>
  <c r="I21" i="24"/>
  <c r="L21" i="24"/>
  <c r="D23" i="24"/>
  <c r="E23" i="24"/>
  <c r="I23" i="24"/>
  <c r="L23" i="24"/>
  <c r="D24" i="24"/>
  <c r="E24" i="24"/>
  <c r="I24" i="24"/>
  <c r="L24" i="24"/>
  <c r="D25" i="24"/>
  <c r="E25" i="24"/>
  <c r="I25" i="24"/>
  <c r="L25" i="24"/>
  <c r="D26" i="24"/>
  <c r="E26" i="24"/>
  <c r="I26" i="24"/>
  <c r="L26" i="24"/>
  <c r="D27" i="24"/>
  <c r="E27" i="24"/>
  <c r="I27" i="24"/>
  <c r="L27" i="24"/>
  <c r="O27" i="24"/>
  <c r="D28" i="24"/>
  <c r="E28" i="24"/>
  <c r="I28" i="24"/>
  <c r="L28" i="24"/>
  <c r="O28" i="24"/>
  <c r="D29" i="24"/>
  <c r="E29" i="24"/>
  <c r="I29" i="24"/>
  <c r="L29" i="24"/>
  <c r="O29" i="24"/>
  <c r="D30" i="24"/>
  <c r="E30" i="24"/>
  <c r="I30" i="24"/>
  <c r="L30" i="24"/>
  <c r="O30" i="24"/>
  <c r="D31" i="24"/>
  <c r="E31" i="24"/>
  <c r="I31" i="24"/>
  <c r="L31" i="24"/>
  <c r="O31" i="24"/>
  <c r="D32" i="24"/>
  <c r="E32" i="24"/>
  <c r="I32" i="24"/>
  <c r="L32" i="24"/>
  <c r="O32" i="24"/>
  <c r="D33" i="24"/>
  <c r="E33" i="24"/>
  <c r="I33" i="24"/>
  <c r="L33" i="24"/>
  <c r="O33" i="24"/>
  <c r="D34" i="24"/>
  <c r="E34" i="24"/>
  <c r="I34" i="24"/>
  <c r="L34" i="24"/>
  <c r="O34" i="24"/>
  <c r="D35" i="24"/>
  <c r="E35" i="24"/>
  <c r="I35" i="24"/>
  <c r="L35" i="24"/>
  <c r="O35" i="24"/>
  <c r="D36" i="24"/>
  <c r="E36" i="24"/>
  <c r="I36" i="24"/>
  <c r="L36" i="24"/>
  <c r="O36" i="24"/>
  <c r="D37" i="24"/>
  <c r="E37" i="24"/>
  <c r="I37" i="24"/>
  <c r="L37" i="24"/>
  <c r="O37" i="24"/>
  <c r="D38" i="24"/>
  <c r="E38" i="24"/>
  <c r="I38" i="24"/>
  <c r="L38" i="24"/>
  <c r="O38" i="24"/>
  <c r="D39" i="24"/>
  <c r="E39" i="24"/>
  <c r="I39" i="24"/>
  <c r="L39" i="24"/>
  <c r="O39" i="24"/>
  <c r="B25" i="6"/>
  <c r="B27" i="6"/>
  <c r="B28" i="6"/>
  <c r="G18" i="24"/>
  <c r="E18" i="24"/>
  <c r="AD135" i="23"/>
  <c r="AD136" i="23"/>
  <c r="AD137" i="23"/>
  <c r="AD138" i="23"/>
  <c r="AD139" i="23"/>
  <c r="AD140" i="23"/>
  <c r="AD141" i="23"/>
  <c r="AD142" i="23"/>
  <c r="AD143" i="23"/>
  <c r="AD144" i="23"/>
  <c r="AD145" i="23"/>
  <c r="AD146" i="23"/>
  <c r="AD147" i="23"/>
  <c r="AD148" i="23"/>
  <c r="AD149" i="23"/>
  <c r="AD150" i="23"/>
  <c r="AD182" i="23"/>
  <c r="AD183" i="23"/>
  <c r="AD184" i="23"/>
  <c r="AD185" i="23"/>
  <c r="AD186" i="23"/>
  <c r="AD187" i="23"/>
  <c r="AD188" i="23"/>
  <c r="AD189" i="23"/>
  <c r="AD190" i="23"/>
  <c r="AD191" i="23"/>
  <c r="AD192" i="23"/>
  <c r="AD193" i="23"/>
  <c r="AD194" i="23"/>
  <c r="AD195" i="23"/>
  <c r="AD196" i="23"/>
  <c r="AD197" i="23"/>
  <c r="AD198" i="23"/>
  <c r="AD199" i="23"/>
  <c r="AD200" i="23"/>
  <c r="AD201" i="23"/>
  <c r="AD202" i="23"/>
  <c r="AD203" i="23"/>
  <c r="AD204" i="23"/>
  <c r="AD205" i="23"/>
  <c r="AD206" i="23"/>
  <c r="AD207" i="23"/>
  <c r="AD208" i="23"/>
  <c r="AD209" i="23"/>
  <c r="AD210" i="23"/>
  <c r="AD211" i="23"/>
  <c r="AD212" i="23"/>
  <c r="AD213" i="23"/>
  <c r="AD214" i="23"/>
  <c r="AD215" i="23"/>
  <c r="AD216" i="23"/>
  <c r="AD217" i="23"/>
  <c r="AD218" i="23"/>
  <c r="AD219" i="23"/>
  <c r="AD220" i="23"/>
  <c r="AD221" i="23"/>
  <c r="AD222" i="23"/>
  <c r="AD223" i="23"/>
  <c r="AD224" i="23"/>
  <c r="AD225" i="23"/>
  <c r="AD226" i="23"/>
  <c r="AD227" i="23"/>
  <c r="AD228" i="23"/>
  <c r="AD229" i="23"/>
  <c r="AD230" i="23"/>
  <c r="AD151" i="23"/>
  <c r="AD152" i="23"/>
  <c r="AD153" i="23"/>
  <c r="AD154" i="23"/>
  <c r="AD155" i="23"/>
  <c r="AD156" i="23"/>
  <c r="AD157" i="23"/>
  <c r="AD158" i="23"/>
  <c r="AD159" i="23"/>
  <c r="AD160" i="23"/>
  <c r="AD161" i="23"/>
  <c r="AD162" i="23"/>
  <c r="AD163" i="23"/>
  <c r="AD164" i="23"/>
  <c r="AD165" i="23"/>
  <c r="AD166" i="23"/>
  <c r="AD167" i="23"/>
  <c r="AD168" i="23"/>
  <c r="AD169" i="23"/>
  <c r="AD170" i="23"/>
  <c r="AD171" i="23"/>
  <c r="AD172" i="23"/>
  <c r="AD173" i="23"/>
  <c r="AD174" i="23"/>
  <c r="AD175" i="23"/>
  <c r="AD176" i="23"/>
  <c r="AD177" i="23"/>
  <c r="AD178" i="23"/>
  <c r="AD179" i="23"/>
  <c r="AD180" i="23"/>
  <c r="AD181" i="23"/>
  <c r="B8" i="6"/>
  <c r="A3" i="29"/>
  <c r="B7" i="6"/>
  <c r="A2" i="29"/>
  <c r="B6" i="6"/>
  <c r="A1" i="29"/>
  <c r="A3" i="28"/>
  <c r="A2" i="28"/>
  <c r="A1" i="28"/>
  <c r="AD88" i="23"/>
  <c r="AD89" i="23"/>
  <c r="AD90" i="23"/>
  <c r="AD91" i="23"/>
  <c r="AD92" i="23"/>
  <c r="AD93" i="23"/>
  <c r="AD94" i="23"/>
  <c r="AD95" i="23"/>
  <c r="AD96" i="23"/>
  <c r="AD97" i="23"/>
  <c r="AD98" i="23"/>
  <c r="AD99" i="23"/>
  <c r="AD100" i="23"/>
  <c r="AD101" i="23"/>
  <c r="AD102" i="23"/>
  <c r="AD103" i="23"/>
  <c r="AD104" i="23"/>
  <c r="AD105" i="23"/>
  <c r="AD106" i="23"/>
  <c r="AD107" i="23"/>
  <c r="AD108" i="23"/>
  <c r="AD109" i="23"/>
  <c r="AD110" i="23"/>
  <c r="AD111" i="23"/>
  <c r="AD112" i="23"/>
  <c r="AD113" i="23"/>
  <c r="AD114" i="23"/>
  <c r="AD115" i="23"/>
  <c r="AD116" i="23"/>
  <c r="AD117" i="23"/>
  <c r="AD118" i="23"/>
  <c r="AD119" i="23"/>
  <c r="AD120" i="23"/>
  <c r="AD121" i="23"/>
  <c r="AD122" i="23"/>
  <c r="AD123" i="23"/>
  <c r="AD124" i="23"/>
  <c r="AD125" i="23"/>
  <c r="AD126" i="23"/>
  <c r="AD127" i="23"/>
  <c r="AD128" i="23"/>
  <c r="AD129" i="23"/>
  <c r="AD130" i="23"/>
  <c r="AD131" i="23"/>
  <c r="AD132" i="23"/>
  <c r="AD133" i="23"/>
  <c r="AD134" i="23"/>
  <c r="AD87"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20" i="23"/>
  <c r="B65" i="5"/>
  <c r="B163" i="6"/>
  <c r="B64" i="5"/>
  <c r="B162" i="6"/>
  <c r="M16" i="24"/>
  <c r="B161" i="6"/>
  <c r="J16" i="24"/>
  <c r="B113" i="6"/>
  <c r="B145" i="6"/>
  <c r="A9" i="24"/>
  <c r="B160" i="6"/>
  <c r="B63" i="5"/>
  <c r="B159" i="6"/>
  <c r="B62" i="5"/>
  <c r="B110" i="6"/>
  <c r="B17" i="24"/>
  <c r="B158" i="6"/>
  <c r="A8" i="24"/>
  <c r="B157" i="6"/>
  <c r="B61" i="5"/>
  <c r="B156" i="6"/>
  <c r="B60" i="5"/>
  <c r="D18" i="24"/>
  <c r="B154" i="6"/>
  <c r="B4" i="12"/>
  <c r="B155" i="6"/>
  <c r="B7" i="12"/>
  <c r="B134" i="6"/>
  <c r="A7" i="12"/>
  <c r="B6" i="12"/>
  <c r="B136" i="6"/>
  <c r="A6" i="12"/>
  <c r="B5" i="12"/>
  <c r="B135" i="6"/>
  <c r="A5" i="12"/>
  <c r="A4" i="12"/>
  <c r="B138" i="6"/>
  <c r="I37" i="1"/>
  <c r="I23" i="1"/>
  <c r="I18" i="1"/>
  <c r="I19" i="1"/>
  <c r="I24" i="1"/>
  <c r="I26" i="1"/>
  <c r="I27" i="1"/>
  <c r="I29" i="1"/>
  <c r="I30" i="1"/>
  <c r="I31" i="1"/>
  <c r="I32" i="1"/>
  <c r="I33" i="1"/>
  <c r="I34" i="1"/>
  <c r="I35" i="1"/>
  <c r="I36" i="1"/>
  <c r="I21" i="1"/>
  <c r="B111" i="6"/>
  <c r="I17" i="1"/>
  <c r="L17" i="24"/>
  <c r="K17" i="24"/>
  <c r="A18" i="15"/>
  <c r="A19" i="15"/>
  <c r="A20" i="15"/>
  <c r="A21" i="15"/>
  <c r="C18" i="15"/>
  <c r="C19" i="15"/>
  <c r="C20" i="15"/>
  <c r="C21" i="15"/>
  <c r="A22" i="15"/>
  <c r="C22" i="15"/>
  <c r="A23" i="15"/>
  <c r="B23" i="15"/>
  <c r="C23" i="15"/>
  <c r="A24" i="15"/>
  <c r="B24" i="15"/>
  <c r="C24" i="15"/>
  <c r="A25" i="15"/>
  <c r="B25" i="15"/>
  <c r="A26" i="15"/>
  <c r="B26" i="15"/>
  <c r="A27" i="15"/>
  <c r="B27" i="15"/>
  <c r="A28" i="15"/>
  <c r="B28" i="15"/>
  <c r="A29" i="15"/>
  <c r="B29" i="15"/>
  <c r="A30" i="15"/>
  <c r="A31" i="15"/>
  <c r="B31" i="15"/>
  <c r="A32" i="15"/>
  <c r="B32" i="15"/>
  <c r="A33" i="15"/>
  <c r="A34" i="15"/>
  <c r="A35" i="15"/>
  <c r="A36" i="15"/>
  <c r="A44" i="15"/>
  <c r="A45" i="15"/>
  <c r="B122" i="6"/>
  <c r="B137" i="6"/>
  <c r="B144" i="6"/>
  <c r="B139" i="6"/>
  <c r="C17" i="26"/>
  <c r="A17" i="26"/>
  <c r="A3" i="26"/>
  <c r="A2" i="26"/>
  <c r="A1" i="26"/>
  <c r="B12" i="6"/>
  <c r="A3" i="25"/>
  <c r="A2" i="25"/>
  <c r="A1" i="25"/>
  <c r="N17" i="24"/>
  <c r="A17" i="24"/>
  <c r="C18" i="14"/>
  <c r="C19" i="14"/>
  <c r="C20" i="14"/>
  <c r="C21" i="14"/>
  <c r="C22" i="14"/>
  <c r="C23" i="14"/>
  <c r="C24" i="14"/>
  <c r="B114" i="6"/>
  <c r="B115" i="6"/>
  <c r="B112" i="6"/>
  <c r="A10" i="24"/>
  <c r="D8" i="24"/>
  <c r="A7" i="24"/>
  <c r="A6" i="24"/>
  <c r="B81" i="6"/>
  <c r="B82" i="6"/>
  <c r="B83" i="6"/>
  <c r="B84" i="6"/>
  <c r="B85" i="6"/>
  <c r="B86" i="6"/>
  <c r="B87" i="6"/>
  <c r="B51" i="6"/>
  <c r="B31" i="21"/>
  <c r="B50" i="6"/>
  <c r="C31" i="21"/>
  <c r="C41" i="21"/>
  <c r="C40" i="21"/>
  <c r="C39" i="21"/>
  <c r="C38" i="21"/>
  <c r="C37" i="21"/>
  <c r="C36" i="21"/>
  <c r="C35" i="21"/>
  <c r="B80" i="6"/>
  <c r="C34" i="21"/>
  <c r="B79" i="6"/>
  <c r="C33" i="21"/>
  <c r="B78" i="6"/>
  <c r="C32" i="21"/>
  <c r="B77" i="6"/>
  <c r="B28" i="21"/>
  <c r="B76" i="6"/>
  <c r="B27" i="21"/>
  <c r="B75" i="6"/>
  <c r="B26" i="21"/>
  <c r="B74" i="6"/>
  <c r="B25" i="21"/>
  <c r="B73" i="6"/>
  <c r="B24" i="21"/>
  <c r="B72" i="6"/>
  <c r="B23" i="21"/>
  <c r="B71" i="6"/>
  <c r="B22" i="21"/>
  <c r="B70" i="6"/>
  <c r="B21" i="21"/>
  <c r="B69" i="6"/>
  <c r="B20" i="21"/>
  <c r="B68" i="6"/>
  <c r="B19" i="21"/>
  <c r="B67" i="6"/>
  <c r="B41" i="21"/>
  <c r="B66" i="6"/>
  <c r="B40" i="21"/>
  <c r="B65" i="6"/>
  <c r="B39" i="21"/>
  <c r="B64" i="6"/>
  <c r="B38" i="21"/>
  <c r="B63" i="6"/>
  <c r="B37" i="21"/>
  <c r="B62" i="6"/>
  <c r="B36" i="21"/>
  <c r="B61" i="6"/>
  <c r="B35" i="21"/>
  <c r="B60" i="6"/>
  <c r="B34" i="21"/>
  <c r="B59" i="6"/>
  <c r="B33" i="21"/>
  <c r="B32" i="21"/>
  <c r="B46" i="6"/>
  <c r="A31" i="21"/>
  <c r="B47" i="6"/>
  <c r="B18" i="21"/>
  <c r="A18" i="21"/>
  <c r="A30" i="21"/>
  <c r="B45" i="6"/>
  <c r="A17" i="21"/>
  <c r="A15" i="21"/>
  <c r="C21" i="1"/>
  <c r="D21" i="1"/>
  <c r="E21" i="1"/>
  <c r="B142" i="6"/>
  <c r="B53" i="5"/>
  <c r="A17" i="1"/>
  <c r="A15" i="19"/>
  <c r="A3" i="19"/>
  <c r="A2" i="19"/>
  <c r="A1" i="19"/>
  <c r="H25" i="1"/>
  <c r="H24" i="1"/>
  <c r="B24" i="1"/>
  <c r="H19" i="1"/>
  <c r="B19" i="1"/>
  <c r="H18" i="1"/>
  <c r="B18" i="1"/>
  <c r="B11" i="6"/>
  <c r="A15" i="16"/>
  <c r="A17" i="16"/>
  <c r="A17" i="14"/>
  <c r="A17" i="15"/>
  <c r="A3" i="16"/>
  <c r="A2" i="16"/>
  <c r="A1" i="16"/>
  <c r="B10" i="6"/>
  <c r="A3" i="14"/>
  <c r="A2" i="14"/>
  <c r="A1" i="14"/>
  <c r="A3" i="15"/>
  <c r="A2" i="15"/>
  <c r="A1" i="15"/>
  <c r="B4" i="6"/>
  <c r="A4" i="1"/>
  <c r="A17" i="19"/>
  <c r="B49" i="6"/>
  <c r="B95" i="5"/>
  <c r="H37" i="1"/>
  <c r="H23" i="1"/>
  <c r="H26" i="1"/>
  <c r="H27" i="1"/>
  <c r="H29" i="1"/>
  <c r="H30" i="1"/>
  <c r="H31" i="1"/>
  <c r="H32" i="1"/>
  <c r="H33" i="1"/>
  <c r="H34" i="1"/>
  <c r="H35" i="1"/>
  <c r="H36" i="1"/>
  <c r="H21" i="1"/>
  <c r="B27" i="1"/>
  <c r="B147" i="6"/>
  <c r="B56" i="5"/>
  <c r="B146" i="6"/>
  <c r="B55" i="5"/>
  <c r="A6" i="1"/>
  <c r="A5" i="1"/>
  <c r="B140" i="6"/>
  <c r="C5" i="1"/>
  <c r="B143" i="6"/>
  <c r="B54" i="5"/>
  <c r="K17" i="1"/>
  <c r="B48" i="6"/>
  <c r="A3" i="2"/>
  <c r="A14" i="1"/>
  <c r="A1" i="1"/>
  <c r="C17" i="19"/>
  <c r="B17" i="19"/>
  <c r="B37" i="1"/>
  <c r="B36" i="1"/>
  <c r="B35" i="1"/>
  <c r="B34" i="1"/>
  <c r="D17" i="1"/>
  <c r="J17" i="1"/>
  <c r="C17" i="1"/>
  <c r="E17" i="1"/>
  <c r="A11" i="1"/>
  <c r="B17" i="1"/>
  <c r="B5" i="2"/>
  <c r="B6" i="2"/>
  <c r="A6" i="2"/>
  <c r="A5" i="2"/>
  <c r="A4" i="2"/>
  <c r="C17" i="16"/>
  <c r="B17" i="16"/>
  <c r="C17" i="15"/>
  <c r="B17" i="15"/>
  <c r="B117" i="6"/>
  <c r="B120" i="6"/>
  <c r="B124" i="6"/>
  <c r="C17" i="14"/>
  <c r="B17" i="14"/>
  <c r="B123" i="6"/>
  <c r="B125" i="6"/>
  <c r="B126" i="6"/>
  <c r="B128" i="6"/>
  <c r="B127" i="6"/>
  <c r="B132" i="6"/>
  <c r="B131" i="6"/>
  <c r="B130" i="6"/>
  <c r="B129" i="6"/>
  <c r="B40" i="6"/>
  <c r="B41" i="6"/>
  <c r="B5" i="6"/>
  <c r="B29" i="6"/>
  <c r="B30" i="6"/>
  <c r="B31" i="6"/>
  <c r="B32" i="6"/>
  <c r="B33" i="6"/>
  <c r="B34" i="6"/>
  <c r="B3" i="6"/>
  <c r="O18" i="24"/>
  <c r="AK18" i="24"/>
  <c r="AK39" i="24"/>
  <c r="AK38" i="24"/>
  <c r="AK37" i="24"/>
  <c r="AK36" i="24"/>
  <c r="AK35" i="24"/>
  <c r="AK34" i="24"/>
  <c r="AK33" i="24"/>
  <c r="AK32" i="24"/>
  <c r="AK31" i="24"/>
  <c r="AK30" i="24"/>
  <c r="AK29" i="24"/>
  <c r="AK28" i="24"/>
  <c r="AK27" i="24"/>
  <c r="AK26" i="24"/>
  <c r="AK25" i="24"/>
  <c r="AK24" i="24"/>
  <c r="AK23" i="24"/>
  <c r="AK21" i="24"/>
  <c r="AK20" i="24"/>
  <c r="AK19" i="24"/>
  <c r="AK22" i="24"/>
</calcChain>
</file>

<file path=xl/comments1.xml><?xml version="1.0" encoding="utf-8"?>
<comments xmlns="http://schemas.openxmlformats.org/spreadsheetml/2006/main">
  <authors>
    <author>Micha Schönenberger</author>
  </authors>
  <commentList>
    <comment ref="AC17" authorId="0" shapeId="0">
      <text>
        <r>
          <rPr>
            <b/>
            <sz val="9"/>
            <color indexed="81"/>
            <rFont val="Segoe UI"/>
            <family val="2"/>
          </rPr>
          <t>Micha Schönenberger:</t>
        </r>
        <r>
          <rPr>
            <sz val="9"/>
            <color indexed="81"/>
            <rFont val="Segoe UI"/>
            <family val="2"/>
          </rPr>
          <t xml:space="preserve">
0 = accident /Unfall
1 = Fehler / error
2 = voluntary / vorsätzllich</t>
        </r>
      </text>
    </comment>
  </commentList>
</comments>
</file>

<file path=xl/sharedStrings.xml><?xml version="1.0" encoding="utf-8"?>
<sst xmlns="http://schemas.openxmlformats.org/spreadsheetml/2006/main" count="1182" uniqueCount="822">
  <si>
    <t>pot. Folgen des Fehlers</t>
  </si>
  <si>
    <t>getroffene Massnahme</t>
  </si>
  <si>
    <t>Bewertung</t>
  </si>
  <si>
    <t>Empfehlung / Kontrolle</t>
  </si>
  <si>
    <t>Verbesserter Zustand</t>
  </si>
  <si>
    <t>FMEA (nach VDA)</t>
  </si>
  <si>
    <t>Ersteller:</t>
  </si>
  <si>
    <t>Benennung:</t>
  </si>
  <si>
    <t>Micha Schönenberger, ZHAW</t>
  </si>
  <si>
    <t>Risiko-Matrix</t>
  </si>
  <si>
    <t>Risiko-Prioritäts-Zahl</t>
  </si>
  <si>
    <t>Probability of Occurence</t>
  </si>
  <si>
    <t>Sicherheitslücke infolge nicht eingespielter Updates</t>
  </si>
  <si>
    <t>Antwort</t>
  </si>
  <si>
    <t>Ja</t>
  </si>
  <si>
    <t>Nein</t>
  </si>
  <si>
    <t>unter Umständen</t>
  </si>
  <si>
    <t>Number</t>
  </si>
  <si>
    <t>Deutsch</t>
  </si>
  <si>
    <t>Englisch</t>
  </si>
  <si>
    <t>Risiko</t>
  </si>
  <si>
    <t>Risk</t>
  </si>
  <si>
    <t>Vulnerability</t>
  </si>
  <si>
    <t>global Settings</t>
  </si>
  <si>
    <t>Yes</t>
  </si>
  <si>
    <t>No</t>
  </si>
  <si>
    <t>Occurence</t>
  </si>
  <si>
    <t>Auftreten</t>
  </si>
  <si>
    <t>chosen Language</t>
  </si>
  <si>
    <t>Sprache
Language</t>
  </si>
  <si>
    <t>Answer</t>
  </si>
  <si>
    <t>Referenz Nummer</t>
  </si>
  <si>
    <t>Reference Number</t>
  </si>
  <si>
    <t>Severity</t>
  </si>
  <si>
    <t>Schweregrad</t>
  </si>
  <si>
    <t>vorgesehene Prüfmassnahmen</t>
  </si>
  <si>
    <t>Potential Effect(s) of Failure</t>
  </si>
  <si>
    <t>Nummer</t>
  </si>
  <si>
    <t>planned inspection measures</t>
  </si>
  <si>
    <t>Detection</t>
  </si>
  <si>
    <t>Entdeckbarkeit</t>
  </si>
  <si>
    <t>Risk Priority Number</t>
  </si>
  <si>
    <t>measure taken</t>
  </si>
  <si>
    <t>FMEA Settings</t>
  </si>
  <si>
    <t>Neue Bewertung</t>
  </si>
  <si>
    <t>rating</t>
  </si>
  <si>
    <t>new rating</t>
  </si>
  <si>
    <t>recommentation / control</t>
  </si>
  <si>
    <t>current state</t>
  </si>
  <si>
    <t>derzeitige Zustand</t>
  </si>
  <si>
    <t>improved state</t>
  </si>
  <si>
    <t>in some circumstances</t>
  </si>
  <si>
    <t>alle 1/2 Jahre</t>
  </si>
  <si>
    <t>einmal in 5 Jahren</t>
  </si>
  <si>
    <t>jedes Quartal</t>
  </si>
  <si>
    <t>einmal pro Jahr</t>
  </si>
  <si>
    <t>einmal im Monat</t>
  </si>
  <si>
    <t>mehrmals im Monat</t>
  </si>
  <si>
    <t>täglich</t>
  </si>
  <si>
    <t>Eintrittswahrscheinlichkeit</t>
  </si>
  <si>
    <t>höchstens alle 50 Jahre</t>
  </si>
  <si>
    <t>einmal in 20 Jahren</t>
  </si>
  <si>
    <t>Score</t>
  </si>
  <si>
    <t>Wertung</t>
  </si>
  <si>
    <t>= noch nicht übersetzt</t>
  </si>
  <si>
    <t>Fragen</t>
  </si>
  <si>
    <t>Questions</t>
  </si>
  <si>
    <t>Entscheidungen</t>
  </si>
  <si>
    <t>Desicions</t>
  </si>
  <si>
    <t>Risiko Erhöhung</t>
  </si>
  <si>
    <t>risk increase</t>
  </si>
  <si>
    <t>risk decrease</t>
  </si>
  <si>
    <t>Risiko Minimierung</t>
  </si>
  <si>
    <t>kein</t>
  </si>
  <si>
    <t>sehr gering</t>
  </si>
  <si>
    <t>gering</t>
  </si>
  <si>
    <t>sehr niedrig</t>
  </si>
  <si>
    <t>niedrig</t>
  </si>
  <si>
    <t>mässig</t>
  </si>
  <si>
    <t>moderate</t>
  </si>
  <si>
    <t>none</t>
  </si>
  <si>
    <t>very minor</t>
  </si>
  <si>
    <t>minor</t>
  </si>
  <si>
    <t>very low</t>
  </si>
  <si>
    <t>low</t>
  </si>
  <si>
    <t>high</t>
  </si>
  <si>
    <t>very high</t>
  </si>
  <si>
    <t>extremely high</t>
  </si>
  <si>
    <t>dangerously high</t>
  </si>
  <si>
    <t>hoch</t>
  </si>
  <si>
    <t>sehr hoch</t>
  </si>
  <si>
    <t>extreme hoch</t>
  </si>
  <si>
    <t>gefährlich hoch</t>
  </si>
  <si>
    <t>Beispiel für Wohnsituation</t>
  </si>
  <si>
    <t>Bewertung Schweregrad</t>
  </si>
  <si>
    <t>Risk Aceptance in FMEA Risk Matrix</t>
  </si>
  <si>
    <t>Risiko-Akzeptanz in FMEA Risiko Matrix</t>
  </si>
  <si>
    <t>Risiko = gelb</t>
  </si>
  <si>
    <t>Risiko = grün</t>
  </si>
  <si>
    <t>Risiko = rot</t>
  </si>
  <si>
    <t>Abhängigkeit von externer Stromversorgung</t>
  </si>
  <si>
    <t>Fehlendes oder mangelhaftes Backup / Failover Verfahren</t>
  </si>
  <si>
    <t>Bei einem Fehler gibt es keine genügende Backup-Systeme vor Ort, welche die Funktionen übernehmen können. Die Verfügbarkeit und die Robustheit wurde nicht im Systemdesign berücksichtig oder die entsprechenden Fehlerarten wurden nicht angegangen.</t>
  </si>
  <si>
    <t>#not translated yet#</t>
  </si>
  <si>
    <t>Settings --&gt;</t>
  </si>
  <si>
    <t>Eine Naturkatastrophe zum Beispiel bring das ganze System zum erliegen.</t>
  </si>
  <si>
    <t>Bedrohung Titel</t>
  </si>
  <si>
    <t>Threat Title</t>
  </si>
  <si>
    <t>Bedrohungs-Beschreibung</t>
  </si>
  <si>
    <t>Threat Desciption</t>
  </si>
  <si>
    <t>Social Engineering Attacke</t>
  </si>
  <si>
    <t>Mobile "Smart" Devices</t>
  </si>
  <si>
    <t>Credit Cards</t>
  </si>
  <si>
    <t>Asset</t>
  </si>
  <si>
    <t>lokaler Datenspeicher</t>
  </si>
  <si>
    <t>local Datastorage</t>
  </si>
  <si>
    <t>Diebstahl</t>
  </si>
  <si>
    <t>theft</t>
  </si>
  <si>
    <t>Datenverlust</t>
  </si>
  <si>
    <t>loss of data</t>
  </si>
  <si>
    <t>Bemerkungen</t>
  </si>
  <si>
    <t>accident due to construction work</t>
  </si>
  <si>
    <t>komplettes Smart Home System</t>
  </si>
  <si>
    <t>complete smart home system</t>
  </si>
  <si>
    <t>kompletter Stromausfall für &lt;30 Minuten</t>
  </si>
  <si>
    <t>complete power failure for &lt; 30 minutes</t>
  </si>
  <si>
    <t>kompletter Stromausfall für mehrere Stunden</t>
  </si>
  <si>
    <t>kompletter Stromausfall für mehrere Tage</t>
  </si>
  <si>
    <t>complete power failure for seceral days</t>
  </si>
  <si>
    <t>complete power failure for several hours</t>
  </si>
  <si>
    <t>FMEA Risk Matrix</t>
  </si>
  <si>
    <t>FMEA Risiko Matrix</t>
  </si>
  <si>
    <t>Matrix Title</t>
  </si>
  <si>
    <t>Matrix Titel</t>
  </si>
  <si>
    <t>X-Achse</t>
  </si>
  <si>
    <t>Y-Achse</t>
  </si>
  <si>
    <t>X axis</t>
  </si>
  <si>
    <t>Y axis</t>
  </si>
  <si>
    <t>Auftrittshäufigkeit</t>
  </si>
  <si>
    <t>frequency of occurence</t>
  </si>
  <si>
    <t>0 = Nummer / 1 = Text</t>
  </si>
  <si>
    <t>Titel FMEA-Formblatt</t>
  </si>
  <si>
    <t>Title of FMEA form</t>
  </si>
  <si>
    <t>comments</t>
  </si>
  <si>
    <t>Hackerangriff</t>
  </si>
  <si>
    <t>hacker attack</t>
  </si>
  <si>
    <t>Vulnerabilities due to not installed updates</t>
  </si>
  <si>
    <t>potentielle Fehlerursache</t>
  </si>
  <si>
    <t>keine Datenredundanz</t>
  </si>
  <si>
    <t>no data redundancy</t>
  </si>
  <si>
    <t>FMEA Einstellungen</t>
  </si>
  <si>
    <t>0 = Number / 1 = Text</t>
  </si>
  <si>
    <t>0 = Deutsch / 1 = English</t>
  </si>
  <si>
    <t>FMEA</t>
  </si>
  <si>
    <t>Anrede</t>
  </si>
  <si>
    <t>Vorname</t>
  </si>
  <si>
    <t>Nachname</t>
  </si>
  <si>
    <t>Strasse / Nr.</t>
  </si>
  <si>
    <t>PLZ</t>
  </si>
  <si>
    <t>Ort</t>
  </si>
  <si>
    <t>email</t>
  </si>
  <si>
    <t>Kundenangaben</t>
  </si>
  <si>
    <t>Telefon</t>
  </si>
  <si>
    <t>gültige Sprachoptionen</t>
  </si>
  <si>
    <t>valid language options</t>
  </si>
  <si>
    <t>Herr</t>
  </si>
  <si>
    <t>Winterthur</t>
  </si>
  <si>
    <t>+41 52 520 52 52</t>
  </si>
  <si>
    <t>hans@muster.ch</t>
  </si>
  <si>
    <t>relevant für Matrix</t>
  </si>
  <si>
    <t>relevant for matrix</t>
  </si>
  <si>
    <t>last+1</t>
  </si>
  <si>
    <t>FMEA will not be cleaned.</t>
  </si>
  <si>
    <t>FMEA wird nicht bereinigt.</t>
  </si>
  <si>
    <t>letzter FMEA Eintrag in Zeile</t>
  </si>
  <si>
    <t>last FMEA entry in row</t>
  </si>
  <si>
    <t>column for filtering relevancy</t>
  </si>
  <si>
    <t>Spalte für das Filtern der Relevanz</t>
  </si>
  <si>
    <t>deleting all manuell set cells in FMEA?</t>
  </si>
  <si>
    <t>alle manuell eingetragen Zellen in FMEA wirklich löschen?</t>
  </si>
  <si>
    <t>cells will not be deleted.</t>
  </si>
  <si>
    <t>Zellen werden nicht gelöscht.</t>
  </si>
  <si>
    <t>FMEA Marko Strings</t>
  </si>
  <si>
    <t>Asset (A)</t>
  </si>
  <si>
    <t>Sprache wird nun geändert auf</t>
  </si>
  <si>
    <t>Language will now change to</t>
  </si>
  <si>
    <t>Lichtsteuerung</t>
  </si>
  <si>
    <t>control of lights</t>
  </si>
  <si>
    <t>WLAN Geräte</t>
  </si>
  <si>
    <t>WLAN Devices</t>
  </si>
  <si>
    <t>Heizung</t>
  </si>
  <si>
    <t>heater</t>
  </si>
  <si>
    <t>Firewall</t>
  </si>
  <si>
    <t>firewall</t>
  </si>
  <si>
    <t>Streaming Dienste</t>
  </si>
  <si>
    <t>streaming services</t>
  </si>
  <si>
    <t>persönliche Wertgegenstände</t>
  </si>
  <si>
    <t>personal valuables</t>
  </si>
  <si>
    <t>persönliche Identität</t>
  </si>
  <si>
    <t>personal identity</t>
  </si>
  <si>
    <t>eigenes Leben</t>
  </si>
  <si>
    <t>own life</t>
  </si>
  <si>
    <t>finanzieller Schaden (&lt; 500.-)</t>
  </si>
  <si>
    <t>finanzieller Schaden (&gt; 10'000.-)</t>
  </si>
  <si>
    <t>financial loss (&gt; 10'000.-)</t>
  </si>
  <si>
    <t>financial loss (&gt; 500.-)</t>
  </si>
  <si>
    <t>finanzieller Schaden (1'000.- bis 5'000.-)</t>
  </si>
  <si>
    <t>financial loss (1'000.- to 5'000.-)</t>
  </si>
  <si>
    <t>Beschreibung</t>
  </si>
  <si>
    <t>description</t>
  </si>
  <si>
    <t>potential cause of the error</t>
  </si>
  <si>
    <t>Einstellungen</t>
  </si>
  <si>
    <t>Settings</t>
  </si>
  <si>
    <t>erster Eintrag in Zeile</t>
  </si>
  <si>
    <t>first entry in row</t>
  </si>
  <si>
    <t>Kurznummer für Liste</t>
  </si>
  <si>
    <t>short number for list</t>
  </si>
  <si>
    <t>Hardware zu alt</t>
  </si>
  <si>
    <t>hardware to old</t>
  </si>
  <si>
    <t>Verwundbarkeit / Schwachstelle</t>
  </si>
  <si>
    <t>Abhängigkeit von externen Clouddiensten</t>
  </si>
  <si>
    <t>Fehlendes Sicherheitsdesign durch den Hersteller</t>
  </si>
  <si>
    <t>fehlende/mangelhafte Transportsicherheit</t>
  </si>
  <si>
    <t>A</t>
  </si>
  <si>
    <t>Assets</t>
  </si>
  <si>
    <t>Threats</t>
  </si>
  <si>
    <t>Bedrohungen</t>
  </si>
  <si>
    <t>Kreditkarten</t>
  </si>
  <si>
    <t>Internet Anbindung</t>
  </si>
  <si>
    <t>internet connection</t>
  </si>
  <si>
    <t>potentielle Folgen eines Fehlers</t>
  </si>
  <si>
    <t>potential results of a failure</t>
  </si>
  <si>
    <t>potentielle Folgen des Fehlers</t>
  </si>
  <si>
    <t>Potential Effect of Failure</t>
  </si>
  <si>
    <t>potential cause of failure</t>
  </si>
  <si>
    <t>potential cause(s) of failure</t>
  </si>
  <si>
    <t>betrifft Funktion / Asset</t>
  </si>
  <si>
    <t>concerning function / asset</t>
  </si>
  <si>
    <t>CF</t>
  </si>
  <si>
    <t>Cause of failure (CF) _2</t>
  </si>
  <si>
    <t>Cause of failure (CF) _1</t>
  </si>
  <si>
    <t>FMEA bereinigen für nur relevante Szenarien und Drucker Einstellungen?</t>
  </si>
  <si>
    <t>cleaning FMEA for just relavant scenarios and printer settings?</t>
  </si>
  <si>
    <t>Cause of failure (CF) _3</t>
  </si>
  <si>
    <t>potentielle Fehler (herbeigeführt durch Bedrohung / Gefahr)</t>
  </si>
  <si>
    <t>potential error (caused by threat / risk)</t>
  </si>
  <si>
    <t>RF</t>
  </si>
  <si>
    <t>Unfall bei Bauarbeiten</t>
  </si>
  <si>
    <t>fehlende Stromzuführung</t>
  </si>
  <si>
    <t>Vandalismus</t>
  </si>
  <si>
    <t>vandalism</t>
  </si>
  <si>
    <t>Naturkatastrophe</t>
  </si>
  <si>
    <t>natural disaster</t>
  </si>
  <si>
    <t>Bewertung Wahrscheinlichkeit</t>
  </si>
  <si>
    <t>FMEA score scale</t>
  </si>
  <si>
    <t>not more than every 50 years</t>
  </si>
  <si>
    <t>once in 5 years</t>
  </si>
  <si>
    <t>once in 20 years</t>
  </si>
  <si>
    <t>einmal in 2 Jahren</t>
  </si>
  <si>
    <t>once in 2 years</t>
  </si>
  <si>
    <t>once in year</t>
  </si>
  <si>
    <t>once in 1/2 year</t>
  </si>
  <si>
    <t>every quarter</t>
  </si>
  <si>
    <t>once a month</t>
  </si>
  <si>
    <t>several time a month</t>
  </si>
  <si>
    <t>daily</t>
  </si>
  <si>
    <t>example for living situation</t>
  </si>
  <si>
    <t>living possible with significant limitations</t>
  </si>
  <si>
    <t>EN_5042</t>
  </si>
  <si>
    <t>EN_5043</t>
  </si>
  <si>
    <t>EN_5044</t>
  </si>
  <si>
    <t>EN_5045</t>
  </si>
  <si>
    <t>Rating of severity</t>
  </si>
  <si>
    <t>Rating of likelihood</t>
  </si>
  <si>
    <t>Verletzung der Privatsphäre</t>
  </si>
  <si>
    <t>injury of privacy</t>
  </si>
  <si>
    <t>Smart Home System für Drittpersonen zugänglich</t>
  </si>
  <si>
    <t>Smart Home system accessible to outside persons</t>
  </si>
  <si>
    <t>Einkäufe nicht mehr möglich</t>
  </si>
  <si>
    <t>Verlust (Eigenverschulden)</t>
  </si>
  <si>
    <t>Hardware Ausfall (durch Fremdeinwirkung)</t>
  </si>
  <si>
    <t>Hardware Ausfall (ohne Fremdeinwirkung)</t>
  </si>
  <si>
    <t>hardware failure (without actions of third parties )</t>
  </si>
  <si>
    <t>loss (personal negligence)</t>
  </si>
  <si>
    <t>no power supply</t>
  </si>
  <si>
    <t>hardware failure (with actions of third parties )</t>
  </si>
  <si>
    <t>Wohnen mit sehr grossen Einschränkungen möglich</t>
  </si>
  <si>
    <t>Wohnen mit grossen Einschränkungen möglich</t>
  </si>
  <si>
    <t>living no more possible for hours to days</t>
  </si>
  <si>
    <t>Purchases no longer possible</t>
  </si>
  <si>
    <t>persönliche Daten</t>
  </si>
  <si>
    <t>personal data</t>
  </si>
  <si>
    <t>e-Health Geräte</t>
  </si>
  <si>
    <t>e-health devices</t>
  </si>
  <si>
    <t>Schlafen nicht mehr möglich</t>
  </si>
  <si>
    <t>sleeping no more possible</t>
  </si>
  <si>
    <t>Hohe Stromrechnung</t>
  </si>
  <si>
    <t xml:space="preserve">high electricity bill </t>
  </si>
  <si>
    <t>böswillige Absichten</t>
  </si>
  <si>
    <t>malicious purpose</t>
  </si>
  <si>
    <t>missing/poor transport security</t>
  </si>
  <si>
    <t>ungenügendes / altes Hardware-Equipment</t>
  </si>
  <si>
    <t>insufficient / old hardware equipment</t>
  </si>
  <si>
    <t>missing security desing from manufacturer</t>
  </si>
  <si>
    <t>missing or poor Backup and failover strategy</t>
  </si>
  <si>
    <t>Feuer</t>
  </si>
  <si>
    <t>fire</t>
  </si>
  <si>
    <t>no / uncontrollable light in the house</t>
  </si>
  <si>
    <t>kein/unkontrollierbares Licht im Haus</t>
  </si>
  <si>
    <t>unsichere Passwörter / überall selbe Passwörter</t>
  </si>
  <si>
    <t>unsecure password / everywhere the same password</t>
  </si>
  <si>
    <t>nicht böswilliges menschliches Fehlverhalten</t>
  </si>
  <si>
    <t>not malicious human error</t>
  </si>
  <si>
    <t>keine Unterhaltung (Filme, Musik, Social Media)</t>
  </si>
  <si>
    <t>no entertainment (movies, music, social media)</t>
  </si>
  <si>
    <t>unprofessionelle Installation</t>
  </si>
  <si>
    <t>non-professional installation</t>
  </si>
  <si>
    <t>II = 1</t>
  </si>
  <si>
    <t>II = 2</t>
  </si>
  <si>
    <t>II = 3</t>
  </si>
  <si>
    <t>II = 4</t>
  </si>
  <si>
    <t>C</t>
  </si>
  <si>
    <t>O</t>
  </si>
  <si>
    <t>P</t>
  </si>
  <si>
    <t>L</t>
  </si>
  <si>
    <t>E X P O  = 1</t>
  </si>
  <si>
    <t>E X P O  = 2</t>
  </si>
  <si>
    <t>E X P O  = 3</t>
  </si>
  <si>
    <t>E X P O  = 4</t>
  </si>
  <si>
    <t>D</t>
  </si>
  <si>
    <t>I</t>
  </si>
  <si>
    <t>S</t>
  </si>
  <si>
    <t>R</t>
  </si>
  <si>
    <t>E</t>
  </si>
  <si>
    <t>V</t>
  </si>
  <si>
    <t>2. Szenarien betreffend der Integrität (Integrity)</t>
  </si>
  <si>
    <t>3. Szenarien betreffend der Vertraulichkeit (Confidentiality)</t>
  </si>
  <si>
    <t>1. Szenarien betreffend der Verfügbarkeit (Availability)</t>
  </si>
  <si>
    <t>Bewertungsraster zu STATUS-I für Szenarien:</t>
  </si>
  <si>
    <t>Bewertungsraster zu STATUS-P für Szenarien:</t>
  </si>
  <si>
    <t>MEHARI</t>
  </si>
  <si>
    <t>MEHARI Settings</t>
  </si>
  <si>
    <t>Szenario Typ</t>
  </si>
  <si>
    <t>Szenario DB</t>
  </si>
  <si>
    <t>Unfall</t>
  </si>
  <si>
    <t>Fehler</t>
  </si>
  <si>
    <t>willentliche Aktion</t>
  </si>
  <si>
    <t>accident</t>
  </si>
  <si>
    <t>error</t>
  </si>
  <si>
    <t>Voluntary action</t>
  </si>
  <si>
    <t>DISS_1</t>
  </si>
  <si>
    <t>PREV_1</t>
  </si>
  <si>
    <t>PREV</t>
  </si>
  <si>
    <t>DISS_1 Value</t>
  </si>
  <si>
    <t>DISS</t>
  </si>
  <si>
    <t>PREV_1 Value</t>
  </si>
  <si>
    <t>STATUS-P Entry</t>
  </si>
  <si>
    <t>AE1D1P1</t>
  </si>
  <si>
    <t>AE1D1P2</t>
  </si>
  <si>
    <t>AE1D1P3</t>
  </si>
  <si>
    <t>AE1D1P4</t>
  </si>
  <si>
    <t>AE2D1P1</t>
  </si>
  <si>
    <t>AE2D1P2</t>
  </si>
  <si>
    <t>AE2D1P3</t>
  </si>
  <si>
    <t>AE2D1P4</t>
  </si>
  <si>
    <t>AE3D1P1</t>
  </si>
  <si>
    <t>AE3D1P2</t>
  </si>
  <si>
    <t>AE3D1P3</t>
  </si>
  <si>
    <t>AE3D1P4</t>
  </si>
  <si>
    <t>AE4D1P1</t>
  </si>
  <si>
    <t>AE4D1P2</t>
  </si>
  <si>
    <t>AE4D1P3</t>
  </si>
  <si>
    <t>AE4D1P4</t>
  </si>
  <si>
    <t>STATUS-I Entry</t>
  </si>
  <si>
    <t>EE1D1P1</t>
  </si>
  <si>
    <t>EE1D1P2</t>
  </si>
  <si>
    <t>EE1D1P3</t>
  </si>
  <si>
    <t>EE1D1P4</t>
  </si>
  <si>
    <t>EE2D1P1</t>
  </si>
  <si>
    <t>EE2D1P2</t>
  </si>
  <si>
    <t>EE2D1P3</t>
  </si>
  <si>
    <t>EE2D1P4</t>
  </si>
  <si>
    <t>EE3D1P1</t>
  </si>
  <si>
    <t>EE3D1P2</t>
  </si>
  <si>
    <t>EE3D1P3</t>
  </si>
  <si>
    <t>EE3D1P4</t>
  </si>
  <si>
    <t>EE4D1P1</t>
  </si>
  <si>
    <t>EE4D1P2</t>
  </si>
  <si>
    <t>EE4D1P3</t>
  </si>
  <si>
    <t>EE4D1P4</t>
  </si>
  <si>
    <t>Risiko akzeptiert</t>
  </si>
  <si>
    <t>risk accepted</t>
  </si>
  <si>
    <t>MEHARI Risiko Matrix - ohne Massnahmen</t>
  </si>
  <si>
    <t>MEHARI Risk Matrix - without actions</t>
  </si>
  <si>
    <t>MEHARI Risk Matrix - with actions</t>
  </si>
  <si>
    <t>MEHARI Risiko Matrix - mit Massnahmen</t>
  </si>
  <si>
    <t>Szenario gemäss FMEA Risikos</t>
  </si>
  <si>
    <t>MEHARI Marko Strings</t>
  </si>
  <si>
    <t>transfert not accepted FMEA risks?</t>
  </si>
  <si>
    <t>Risks will not be transfered.</t>
  </si>
  <si>
    <t>Risiken werden nicht übertragen.</t>
  </si>
  <si>
    <t>nicht akzeptierte FMEA Risiken übertragen?</t>
  </si>
  <si>
    <t>letzter MEHARI Eintrag in Zeile</t>
  </si>
  <si>
    <t>last MEHARI entry in row</t>
  </si>
  <si>
    <t>alle Einträge in MEHARI löschen?</t>
  </si>
  <si>
    <t>deleting all entries in MEHARI?</t>
  </si>
  <si>
    <t>vor Massnahmen</t>
  </si>
  <si>
    <t>nach Massnahmen</t>
  </si>
  <si>
    <t>before action</t>
  </si>
  <si>
    <t>after action</t>
  </si>
  <si>
    <t>MEHARI bereinigen für nur relevante Szenarien und Drucker Einstellungen?</t>
  </si>
  <si>
    <t>cleaning MEHARI for just relavant scenarios and printer settings?</t>
  </si>
  <si>
    <t>MEHARI will not be cleaned.</t>
  </si>
  <si>
    <t>MEHARI wird nicht bereinigt.</t>
  </si>
  <si>
    <t>PRINT</t>
  </si>
  <si>
    <t>Grid DB_likelihood</t>
  </si>
  <si>
    <t>Grid DB_Impact</t>
  </si>
  <si>
    <t>II</t>
  </si>
  <si>
    <t>xxxxxxx</t>
  </si>
  <si>
    <t>PALL_1</t>
  </si>
  <si>
    <t>PALL_1 Value</t>
  </si>
  <si>
    <t>PALL</t>
  </si>
  <si>
    <t>Szenarien A,I,C DB</t>
  </si>
  <si>
    <t>Availability</t>
  </si>
  <si>
    <t>Verfügbarkeit</t>
  </si>
  <si>
    <t>Confidentiality</t>
  </si>
  <si>
    <t>Vertraulichkeit</t>
  </si>
  <si>
    <t>Integrität</t>
  </si>
  <si>
    <t>Integrity</t>
  </si>
  <si>
    <t>concerning C,I,A</t>
  </si>
  <si>
    <t>Add-in Settings</t>
  </si>
  <si>
    <t>globale Einstellungen</t>
  </si>
  <si>
    <t>global Entries</t>
  </si>
  <si>
    <t>Sprache ändern</t>
  </si>
  <si>
    <t>change language</t>
  </si>
  <si>
    <t>Filter zurücksetzten</t>
  </si>
  <si>
    <t>reset Filter</t>
  </si>
  <si>
    <t>für Drucken vorbereiten</t>
  </si>
  <si>
    <t>prepare for printing</t>
  </si>
  <si>
    <t>Alle manuellen Daten zurücksetzten</t>
  </si>
  <si>
    <t>reset all manual data</t>
  </si>
  <si>
    <t>DISS001</t>
  </si>
  <si>
    <t>zu hohe Risiken von FMEA übernehmen</t>
  </si>
  <si>
    <t>take excessive risks of FMEA</t>
  </si>
  <si>
    <t>gehe zu</t>
  </si>
  <si>
    <t>Tabelle</t>
  </si>
  <si>
    <t xml:space="preserve">go to </t>
  </si>
  <si>
    <t>table</t>
  </si>
  <si>
    <t>FMEA risk matrix</t>
  </si>
  <si>
    <t>MEAHRI Risiko Matrix</t>
  </si>
  <si>
    <t>MEHARI Risk matrix</t>
  </si>
  <si>
    <t>MEHARI Einstellungen</t>
  </si>
  <si>
    <t>MEHARI Datenblatt</t>
  </si>
  <si>
    <t>MEHARI data sheet</t>
  </si>
  <si>
    <t>FMEA Datenblatt</t>
  </si>
  <si>
    <t>FMEA data sheet</t>
  </si>
  <si>
    <t>predefined score</t>
  </si>
  <si>
    <t>manual score</t>
  </si>
  <si>
    <t>effektive Wertung</t>
  </si>
  <si>
    <t>vordefinierte Wertung</t>
  </si>
  <si>
    <t>manuelle Wertung</t>
  </si>
  <si>
    <t>effective score</t>
  </si>
  <si>
    <t>show/hide global Settings-Tables</t>
  </si>
  <si>
    <t>zeige/verstecke globale Einstellungs-Tabellen</t>
  </si>
  <si>
    <t>zeige/verstecke MEHARI Grid Tabelle</t>
  </si>
  <si>
    <t>show/hide MEHARI Grid Table</t>
  </si>
  <si>
    <t>Kopfzeile</t>
  </si>
  <si>
    <t>Fusszeile</t>
  </si>
  <si>
    <t>header</t>
  </si>
  <si>
    <t>footer</t>
  </si>
  <si>
    <t>links</t>
  </si>
  <si>
    <t>rechts</t>
  </si>
  <si>
    <t>left</t>
  </si>
  <si>
    <t>right</t>
  </si>
  <si>
    <t>customer settings</t>
  </si>
  <si>
    <t>Auditor</t>
  </si>
  <si>
    <t>Micha</t>
  </si>
  <si>
    <t>Schönenberger</t>
  </si>
  <si>
    <t>Seite</t>
  </si>
  <si>
    <t>page</t>
  </si>
  <si>
    <t>Help Settings - do NOT change anything here !</t>
  </si>
  <si>
    <t>Kunde</t>
  </si>
  <si>
    <t>customer</t>
  </si>
  <si>
    <t>setze Kopf- und Fusszeilen</t>
  </si>
  <si>
    <t>set headers and footers</t>
  </si>
  <si>
    <t>IoT Risk Assessment</t>
  </si>
  <si>
    <t>mittig</t>
  </si>
  <si>
    <t>center</t>
  </si>
  <si>
    <t>Matrix Label
without action</t>
  </si>
  <si>
    <t>Matrix Label
with action</t>
  </si>
  <si>
    <t>Bahnhofstrasse 1</t>
  </si>
  <si>
    <t>Firma</t>
  </si>
  <si>
    <t>schoenm1@students.zhaw.ch</t>
  </si>
  <si>
    <t>ZHAW</t>
  </si>
  <si>
    <t>PDF file has been created.</t>
  </si>
  <si>
    <t>PDF Datei wurde erstellt</t>
  </si>
  <si>
    <t>Could not create PDF file</t>
  </si>
  <si>
    <t>PDF Datei konnte nicht erstellt werden</t>
  </si>
  <si>
    <t>Headers and footers are set now.</t>
  </si>
  <si>
    <t>Headers and footers are created. This will take a few seconds…</t>
  </si>
  <si>
    <t>Kopf- und Fusszeilen werden erstellt. Dies geht einige Sekunden…</t>
  </si>
  <si>
    <t>Kopf- und Fusszeilen erfolgreich erstellt.</t>
  </si>
  <si>
    <t>Speichere als PDF (mit DB)</t>
  </si>
  <si>
    <t>save as PDF (with DB)</t>
  </si>
  <si>
    <t>save as PDF (without DB)</t>
  </si>
  <si>
    <t>Speiche als PDF (ohne DB)</t>
  </si>
  <si>
    <t>letzter  Eintrag in Zeile</t>
  </si>
  <si>
    <t>last entry in row</t>
  </si>
  <si>
    <t>erster  Eintrag in Zeile</t>
  </si>
  <si>
    <t>Duplikate / duplicates</t>
  </si>
  <si>
    <t>Anzahl Duplikate</t>
  </si>
  <si>
    <t>mount of duplicates</t>
  </si>
  <si>
    <t>YES/NO DB
Ja/Nein DB</t>
  </si>
  <si>
    <t>Matrix Label
without action_s</t>
  </si>
  <si>
    <t>for macro matrix calculation</t>
  </si>
  <si>
    <t>Duplikate / duplicates before</t>
  </si>
  <si>
    <t>Duplikate / duplicates after</t>
  </si>
  <si>
    <t>translated by machine:
If an error occurs, there is no sufficient backup systems in place that can take over the functions. The availability and the robustness was not considered in system design or the relevant types of errors have not been addressed.</t>
  </si>
  <si>
    <t>number</t>
  </si>
  <si>
    <t>PF</t>
  </si>
  <si>
    <t>potentieller Fehler</t>
  </si>
  <si>
    <t>potential failure</t>
  </si>
  <si>
    <t>YES / NO Field</t>
  </si>
  <si>
    <t>potential failure 
PF_1</t>
  </si>
  <si>
    <t>potential failure 
PF_2</t>
  </si>
  <si>
    <t>potential failure 
PF_3</t>
  </si>
  <si>
    <t>FMEA Bewertungsskala</t>
  </si>
  <si>
    <t>A001</t>
  </si>
  <si>
    <t>RF001</t>
  </si>
  <si>
    <t>result of failure RF_1</t>
  </si>
  <si>
    <t>result of failure RF_3</t>
  </si>
  <si>
    <t>result of failure RF_2</t>
  </si>
  <si>
    <t>Scenario according FMEA risk</t>
  </si>
  <si>
    <t>abschreckende Massnahme(n) DISS nach Tabelle E1</t>
  </si>
  <si>
    <t>vorbeugende Massnahme PREV nach Tabelle E1</t>
  </si>
  <si>
    <t>schützende / minimierende Massnahme CONF nach Tabelle E2</t>
  </si>
  <si>
    <t>dissuasive measure(s) DISS according to table E1</t>
  </si>
  <si>
    <t>preventive measure(s) PREV according to table E1</t>
  </si>
  <si>
    <t>abschwächende/lindernde Massnahme PALL nach Tabelle E2</t>
  </si>
  <si>
    <t>palliative measure(s) PALL according to table E2</t>
  </si>
  <si>
    <t>confine/minimizing measure(s) CONF according to table E2</t>
  </si>
  <si>
    <t>Scenario typ</t>
  </si>
  <si>
    <t>betrifft IT Grundwerte C,I,A</t>
  </si>
  <si>
    <t>concerning IT core values C,I,A</t>
  </si>
  <si>
    <t>regelmässige Updates von Firmware/Software</t>
  </si>
  <si>
    <t>regular updates of firmware / software</t>
  </si>
  <si>
    <t>automatisches Blockieren des Account nach  fehlerhaften Anmeldungen</t>
  </si>
  <si>
    <t>automatic blocking of the account after incorrect logon attempts</t>
  </si>
  <si>
    <t>regelmässiges Wechseln von Passwörtern</t>
  </si>
  <si>
    <t>chaning regulary the passwords</t>
  </si>
  <si>
    <t>Installation einer Firewall</t>
  </si>
  <si>
    <t>firewall installation</t>
  </si>
  <si>
    <t>Installation von Überwachungskameras</t>
  </si>
  <si>
    <t>Installation of security cameras</t>
  </si>
  <si>
    <t>ersetzten von nicht mehr supporteten Geräten</t>
  </si>
  <si>
    <t>replacement of no more supported devices</t>
  </si>
  <si>
    <t>vorbeugende Massnahmen</t>
  </si>
  <si>
    <t>preventive measures</t>
  </si>
  <si>
    <t>setzen auf Hersteller mit grossem Sicherheitsdenken</t>
  </si>
  <si>
    <t>rely on manufacturer who cares about security</t>
  </si>
  <si>
    <t>abschreckende Massnahmen</t>
  </si>
  <si>
    <t>dissuasive measures</t>
  </si>
  <si>
    <t>schützende / minimierende Massnahmen</t>
  </si>
  <si>
    <t>confine/minimizing measures</t>
  </si>
  <si>
    <t>palliative measures</t>
  </si>
  <si>
    <t>abschwächende/lindernde Massnahme</t>
  </si>
  <si>
    <t>keine</t>
  </si>
  <si>
    <t>manueller Feuerlöscher</t>
  </si>
  <si>
    <t>manual extinguisher</t>
  </si>
  <si>
    <t>automatic extinguisher (Sprinkler)</t>
  </si>
  <si>
    <t>automatischer Feuerlöscher (Sprinkler)</t>
  </si>
  <si>
    <t>Backup ausser Haus</t>
  </si>
  <si>
    <t>off-site backup</t>
  </si>
  <si>
    <t>Waschmaschine</t>
  </si>
  <si>
    <t>washing machine</t>
  </si>
  <si>
    <t>Stromkreis</t>
  </si>
  <si>
    <t>power circuit</t>
  </si>
  <si>
    <t>WLAN Infrastruktur</t>
  </si>
  <si>
    <t>WLAN infrastructure</t>
  </si>
  <si>
    <t>A019</t>
  </si>
  <si>
    <t>PF003</t>
  </si>
  <si>
    <t>no noticeable impact on quality of living</t>
  </si>
  <si>
    <t>kein merkbarer Einfluss auf die Wohnqualität</t>
  </si>
  <si>
    <t>sehr geringerr Einfluss auf die Wohnqualität</t>
  </si>
  <si>
    <t>very small impact on the quality of living</t>
  </si>
  <si>
    <t>kleiner merkbarer Einfluss auf di Wohnqualität</t>
  </si>
  <si>
    <t>small noticeable  impact on the quality of living</t>
  </si>
  <si>
    <t>technische Einschränkungen der Wohnqualität spürbar</t>
  </si>
  <si>
    <t>Wohnen mit einzelnen technischen Einschränkungen möglich</t>
  </si>
  <si>
    <t>Wohnen mit technischen Einschränkungen möglich</t>
  </si>
  <si>
    <t>Wohnen für längere Zeit nicht mehr zumutbar</t>
  </si>
  <si>
    <t>living is no more possible for longer time</t>
  </si>
  <si>
    <t>Wohnen für Stunden bis Tage nicht zumutbar</t>
  </si>
  <si>
    <t>random failure (failure rate)</t>
  </si>
  <si>
    <t>zufälliger Ausfall (Ausfallrate)</t>
  </si>
  <si>
    <t>CF018</t>
  </si>
  <si>
    <t>Verlust der Kontrolle von IoT Geräten</t>
  </si>
  <si>
    <t>loss of control of IoT Devices</t>
  </si>
  <si>
    <t>RF017</t>
  </si>
  <si>
    <t>RF018</t>
  </si>
  <si>
    <t>A003</t>
  </si>
  <si>
    <t>CF004</t>
  </si>
  <si>
    <t>Softwarefehler</t>
  </si>
  <si>
    <t>software fault</t>
  </si>
  <si>
    <t>A004</t>
  </si>
  <si>
    <t>PF005</t>
  </si>
  <si>
    <t>CF003</t>
  </si>
  <si>
    <t>CF020</t>
  </si>
  <si>
    <t>CF011</t>
  </si>
  <si>
    <t>PF006</t>
  </si>
  <si>
    <t>RF003</t>
  </si>
  <si>
    <t>Verlust von privaten Daten</t>
  </si>
  <si>
    <t>loss of private data</t>
  </si>
  <si>
    <t>burglary</t>
  </si>
  <si>
    <t>carelessness</t>
  </si>
  <si>
    <t>Unvorsichtigkeit</t>
  </si>
  <si>
    <t>CF021</t>
  </si>
  <si>
    <t>RF006</t>
  </si>
  <si>
    <t>Rolf</t>
  </si>
  <si>
    <t>Huber</t>
  </si>
  <si>
    <t>Kühlschrank</t>
  </si>
  <si>
    <t>refrigerator</t>
  </si>
  <si>
    <t>nicht gewünschte Ausführungen von Funktionen</t>
  </si>
  <si>
    <t>unwanted executions of functions</t>
  </si>
  <si>
    <t>Wohnbereich zu kalt/warm</t>
  </si>
  <si>
    <t>Living area to cold / hot</t>
  </si>
  <si>
    <t>menschliche Fehlhandlung</t>
  </si>
  <si>
    <t>human parapraxis</t>
  </si>
  <si>
    <t>Waschen nicht mehr möglich</t>
  </si>
  <si>
    <t>washing no longer possible</t>
  </si>
  <si>
    <t>A017</t>
  </si>
  <si>
    <t>social enginerring attack</t>
  </si>
  <si>
    <t>RF020</t>
  </si>
  <si>
    <t>CF001</t>
  </si>
  <si>
    <t>CF002</t>
  </si>
  <si>
    <t>Gerät nicht unter Kontrolle</t>
  </si>
  <si>
    <t>device not under control</t>
  </si>
  <si>
    <t>PF001</t>
  </si>
  <si>
    <t>PF009</t>
  </si>
  <si>
    <t>RF021</t>
  </si>
  <si>
    <t>Abhängigkeit von Drittanbieter</t>
  </si>
  <si>
    <t>Dependence on third-party</t>
  </si>
  <si>
    <t>CF023</t>
  </si>
  <si>
    <t>A016</t>
  </si>
  <si>
    <t>grosse Fehlfunktionen</t>
  </si>
  <si>
    <t>kleinere Fehlfunktionen</t>
  </si>
  <si>
    <t>minor malfunctions</t>
  </si>
  <si>
    <t>major malfunctions</t>
  </si>
  <si>
    <t>PF010</t>
  </si>
  <si>
    <t>Gefährdung des eigenen Lebens</t>
  </si>
  <si>
    <t>Risk of personal life</t>
  </si>
  <si>
    <t>risk of personal health</t>
  </si>
  <si>
    <t>Gefährdung der persönlichen Gesundheit</t>
  </si>
  <si>
    <t>RF012</t>
  </si>
  <si>
    <t>RF013</t>
  </si>
  <si>
    <t>leicht zu erratende Passwörter</t>
  </si>
  <si>
    <t>easy-to-guess passwords</t>
  </si>
  <si>
    <t>Verwendung von globalen Passwörtern</t>
  </si>
  <si>
    <t>using of global passwords</t>
  </si>
  <si>
    <t>CF024</t>
  </si>
  <si>
    <t>CF025</t>
  </si>
  <si>
    <t>Verlust oder Teilverlust der Kontrolle</t>
  </si>
  <si>
    <t>Loss or partial loss of control</t>
  </si>
  <si>
    <t>online Konten</t>
  </si>
  <si>
    <t>online accounts</t>
  </si>
  <si>
    <t>A021</t>
  </si>
  <si>
    <t>finanzieller Schaden (nicht bezifferbar)</t>
  </si>
  <si>
    <t>financial loss (non-quantifiable)</t>
  </si>
  <si>
    <t>RF022</t>
  </si>
  <si>
    <t>Opfer von Phishing</t>
  </si>
  <si>
    <t>Opfer von Malware/Viren/Trojaner</t>
  </si>
  <si>
    <t>victims of malware / viruses / trojans</t>
  </si>
  <si>
    <t>victims of Phishing</t>
  </si>
  <si>
    <t>RF026</t>
  </si>
  <si>
    <t>CF026</t>
  </si>
  <si>
    <t>Identitätsdiebstahl</t>
  </si>
  <si>
    <t>identity theft</t>
  </si>
  <si>
    <t>Kommunikation zwischen IoT Geräten</t>
  </si>
  <si>
    <t>communication between IoT devices</t>
  </si>
  <si>
    <t>A015</t>
  </si>
  <si>
    <t>Ausfall WLAN Infrastruktur</t>
  </si>
  <si>
    <t xml:space="preserve">WLAN Infrastructure Failure </t>
  </si>
  <si>
    <t>PF013</t>
  </si>
  <si>
    <t>Smart Home System nicht steuerbar</t>
  </si>
  <si>
    <t>Smart Home System can not be controlled</t>
  </si>
  <si>
    <t>einzelne IoT Geräte nicht erreichbar</t>
  </si>
  <si>
    <t>some IoT devices unavailable</t>
  </si>
  <si>
    <t>RF024</t>
  </si>
  <si>
    <t>RF023</t>
  </si>
  <si>
    <t>compromise of thid-party</t>
  </si>
  <si>
    <t>Kompromittierung von Dritthersteller</t>
  </si>
  <si>
    <t>private data in wrong hands</t>
  </si>
  <si>
    <t>private Daten in falschen Händen</t>
  </si>
  <si>
    <t>PF015</t>
  </si>
  <si>
    <t>Verkauf von privaten Daten</t>
  </si>
  <si>
    <t>Sales of private data</t>
  </si>
  <si>
    <t>RF025</t>
  </si>
  <si>
    <t>Mobile Applikation mit zu vielen Rechten</t>
  </si>
  <si>
    <t>mobile application with too many rights</t>
  </si>
  <si>
    <t>Strategisches Sammeln von privaten Daten für den Verkauf</t>
  </si>
  <si>
    <t>Strategic collecting personal data for sale</t>
  </si>
  <si>
    <t>CF028</t>
  </si>
  <si>
    <t>Daten nicht verschlüsselt</t>
  </si>
  <si>
    <t>data not encrypted</t>
  </si>
  <si>
    <t>CF030</t>
  </si>
  <si>
    <t>PF004</t>
  </si>
  <si>
    <t>Diebstahl von privaten Daten</t>
  </si>
  <si>
    <t>theft of private data</t>
  </si>
  <si>
    <t>RF027</t>
  </si>
  <si>
    <t>using of wrong identities</t>
  </si>
  <si>
    <t>Versicherung des Gegenstandes / der Situation</t>
  </si>
  <si>
    <t>insurance of the object / situation</t>
  </si>
  <si>
    <t>zeige/verstecke DB Tabellen</t>
  </si>
  <si>
    <t>show/hide DB tables</t>
  </si>
  <si>
    <t>ungenügende Authentifizierung</t>
  </si>
  <si>
    <t>insufficient authentication</t>
  </si>
  <si>
    <t>alle IOT Geräte</t>
  </si>
  <si>
    <t>all IoT Devices</t>
  </si>
  <si>
    <t>Spionage</t>
  </si>
  <si>
    <t>espionage</t>
  </si>
  <si>
    <t>unsichere Netzwerk-Services</t>
  </si>
  <si>
    <t>unsecure network services</t>
  </si>
  <si>
    <t>CF031</t>
  </si>
  <si>
    <t>A013</t>
  </si>
  <si>
    <t>fehlende USV</t>
  </si>
  <si>
    <t>fehlende Redundanz</t>
  </si>
  <si>
    <t>missing redundancy</t>
  </si>
  <si>
    <t>kein Remotezugriff auf System möglich</t>
  </si>
  <si>
    <t>no remote access possible on system</t>
  </si>
  <si>
    <t>RF029</t>
  </si>
  <si>
    <t>M2M Kommunikation nicht möglich</t>
  </si>
  <si>
    <t>M2M communication not possible</t>
  </si>
  <si>
    <t>RF030</t>
  </si>
  <si>
    <t>Dependence on external power supply</t>
  </si>
  <si>
    <t>Drittanbieter Opfer von Cybercrime</t>
  </si>
  <si>
    <t>Third-party victims of cybercrime</t>
  </si>
  <si>
    <t>CF034</t>
  </si>
  <si>
    <t>Drittanbieter kann Dienst nicht zur Verfügung stellen</t>
  </si>
  <si>
    <t>Third-party can not provide service</t>
  </si>
  <si>
    <t>PF016</t>
  </si>
  <si>
    <t>CF016</t>
  </si>
  <si>
    <t>Schweregrad klein, da redundanter Internetanschluss</t>
  </si>
  <si>
    <t>TEST 1234</t>
  </si>
  <si>
    <t>wenn keine Datei für das Speichern ausgewählt wird, wird das PDF automatisch in den Pfad den Excel gespeichert mit einem automatischen Namen (FALSCH)</t>
  </si>
  <si>
    <t>if not file for saving is chosen, the PDF will be created in the path of this excel with an automatic name (FALSCH)</t>
  </si>
  <si>
    <t>Installation Videoüberwachung</t>
  </si>
  <si>
    <t>installation of video surveillance</t>
  </si>
  <si>
    <t>Einschalten detaillierte Logs</t>
  </si>
  <si>
    <t>enabling of detailled logs</t>
  </si>
  <si>
    <t>benutzen von falschen Identitäten</t>
  </si>
  <si>
    <t>falsche Datenausgaben</t>
  </si>
  <si>
    <t>wrong data outputs</t>
  </si>
  <si>
    <t>PF017</t>
  </si>
  <si>
    <t>Abschotten sicherheitsrelevanter Systeme</t>
  </si>
  <si>
    <t>Foreclose safety systems</t>
  </si>
  <si>
    <t>locking systems</t>
  </si>
  <si>
    <t>A023</t>
  </si>
  <si>
    <t>möglicher Remotezugang</t>
  </si>
  <si>
    <t>remote access possible</t>
  </si>
  <si>
    <t>CF035</t>
  </si>
  <si>
    <t>Drittpersonen haben physischen Zutritt</t>
  </si>
  <si>
    <t>Third persons have physical access</t>
  </si>
  <si>
    <t>RF031</t>
  </si>
  <si>
    <t>Using admin account when not necessary</t>
  </si>
  <si>
    <t>CF036</t>
  </si>
  <si>
    <t>Kompromittierung</t>
  </si>
  <si>
    <t>compromise</t>
  </si>
  <si>
    <t>PF019</t>
  </si>
  <si>
    <t>kein Zutritt zum eigenen Wohnheim</t>
  </si>
  <si>
    <t>no access to own home</t>
  </si>
  <si>
    <t>PF020</t>
  </si>
  <si>
    <t>Nutzung Admin Account wo nicht notwendig</t>
  </si>
  <si>
    <t>PALL007</t>
  </si>
  <si>
    <t>Datenbackup</t>
  </si>
  <si>
    <t>data backup</t>
  </si>
  <si>
    <t>Hardware / Software Redundanz</t>
  </si>
  <si>
    <t>hardware / software redundancy</t>
  </si>
  <si>
    <t>PREV009</t>
  </si>
  <si>
    <t>regelmässige Kontrolle Hardware</t>
  </si>
  <si>
    <t>regular hardware controls</t>
  </si>
  <si>
    <t>PROT_1</t>
  </si>
  <si>
    <t>PROT003</t>
  </si>
  <si>
    <t>PROT</t>
  </si>
  <si>
    <t>Videoüberwachung</t>
  </si>
  <si>
    <t>video surveillance</t>
  </si>
  <si>
    <t>A024</t>
  </si>
  <si>
    <t>wenn bei Clouddienst</t>
  </si>
  <si>
    <t>RF009</t>
  </si>
  <si>
    <t>CF007</t>
  </si>
  <si>
    <t>CF008</t>
  </si>
  <si>
    <t>PF014</t>
  </si>
  <si>
    <t>Auto</t>
  </si>
  <si>
    <t>car</t>
  </si>
  <si>
    <t>A025</t>
  </si>
  <si>
    <t>Bremsen funktionieren nicht</t>
  </si>
  <si>
    <t>Brakes do not work</t>
  </si>
  <si>
    <t>PF021</t>
  </si>
  <si>
    <t>CF010</t>
  </si>
  <si>
    <t>PREV007</t>
  </si>
  <si>
    <t>Zwei-Faktor Authentifizierung</t>
  </si>
  <si>
    <t>Two-factor authentication</t>
  </si>
  <si>
    <t>PROT004</t>
  </si>
  <si>
    <t>PALL001</t>
  </si>
  <si>
    <t>nur Leserechte / keine Schreibrechte</t>
  </si>
  <si>
    <t>only read access / no write access</t>
  </si>
  <si>
    <t>PROT001</t>
  </si>
  <si>
    <t>2. Szenarien basierend auf einem Fehler (error)</t>
  </si>
  <si>
    <t>T</t>
  </si>
  <si>
    <t>1. Szenarien basierend auf einem Unfall (accident)</t>
  </si>
  <si>
    <t>3. Szenarien basierend auf einer freiwilligen Aktion (voluntary action)</t>
  </si>
  <si>
    <t>PREV001</t>
  </si>
  <si>
    <t>regelmässiger Passwortwechsel</t>
  </si>
  <si>
    <t>regular password changes</t>
  </si>
  <si>
    <t>redundantes System ohne direkte Verbindung zum Hauptsystem</t>
  </si>
  <si>
    <t>redundant system with no direct connection to the main system</t>
  </si>
  <si>
    <t>PALL008</t>
  </si>
  <si>
    <t>PROT_1 Value</t>
  </si>
  <si>
    <t>Strafrechtliche Verfolgung bei Entdeckung</t>
  </si>
  <si>
    <t>Criminal prosecution in discovery</t>
  </si>
  <si>
    <t>DISS004</t>
  </si>
  <si>
    <t>PROT002</t>
  </si>
  <si>
    <t>Schliesssysteme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</si>
</sst>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42" x14ac:knownFonts="1">
    <font>
      <sz val="11"/>
      <color theme="1"/>
      <name val="Calibri"/>
      <family val="2"/>
      <scheme val="minor"/>
    </font>
    <font>
      <b/>
      <sz val="11"/>
      <color theme="1"/>
      <name val="Calibri"/>
      <family val="2"/>
      <scheme val="minor"/>
    </font>
    <font>
      <sz val="8"/>
      <color theme="1"/>
      <name val="Arial Unicode MS"/>
      <family val="2"/>
    </font>
    <font>
      <b/>
      <sz val="8"/>
      <color theme="1"/>
      <name val="Arial Unicode MS"/>
      <family val="2"/>
    </font>
    <font>
      <b/>
      <sz val="10"/>
      <color theme="1"/>
      <name val="Arial Unicode MS"/>
      <family val="2"/>
    </font>
    <font>
      <sz val="8"/>
      <name val="Calibri"/>
      <family val="2"/>
      <scheme val="minor"/>
    </font>
    <font>
      <u/>
      <sz val="11"/>
      <color theme="10"/>
      <name val="Calibri"/>
      <family val="2"/>
      <scheme val="minor"/>
    </font>
    <font>
      <u/>
      <sz val="11"/>
      <color theme="11"/>
      <name val="Calibri"/>
      <family val="2"/>
      <scheme val="minor"/>
    </font>
    <font>
      <b/>
      <sz val="16"/>
      <color theme="1"/>
      <name val="Calibri"/>
      <family val="2"/>
      <scheme val="minor"/>
    </font>
    <font>
      <sz val="8"/>
      <color theme="1"/>
      <name val="Arial"/>
      <family val="2"/>
    </font>
    <font>
      <b/>
      <sz val="8"/>
      <color theme="1"/>
      <name val="Arial"/>
      <family val="2"/>
    </font>
    <font>
      <b/>
      <sz val="12"/>
      <color theme="1"/>
      <name val="Calibri"/>
      <family val="2"/>
      <scheme val="minor"/>
    </font>
    <font>
      <b/>
      <sz val="10"/>
      <color theme="1"/>
      <name val="Arial"/>
      <family val="2"/>
    </font>
    <font>
      <b/>
      <sz val="14"/>
      <color theme="1"/>
      <name val="Arial"/>
      <family val="2"/>
    </font>
    <font>
      <sz val="10"/>
      <name val="Arial"/>
      <family val="2"/>
    </font>
    <font>
      <sz val="9"/>
      <name val="Arial"/>
      <family val="2"/>
    </font>
    <font>
      <u/>
      <sz val="10"/>
      <color theme="10"/>
      <name val="Arial"/>
      <family val="2"/>
    </font>
    <font>
      <sz val="11"/>
      <color theme="1"/>
      <name val="Arial"/>
      <family val="2"/>
    </font>
    <font>
      <sz val="10"/>
      <name val="Arial"/>
      <family val="2"/>
    </font>
    <font>
      <b/>
      <sz val="14"/>
      <name val="Comic Sans MS"/>
      <family val="4"/>
    </font>
    <font>
      <sz val="10"/>
      <name val="Comic Sans MS"/>
      <family val="4"/>
    </font>
    <font>
      <b/>
      <sz val="12"/>
      <name val="Comic Sans MS"/>
      <family val="4"/>
    </font>
    <font>
      <sz val="8"/>
      <name val="Comic Sans MS"/>
      <family val="4"/>
    </font>
    <font>
      <b/>
      <sz val="8"/>
      <name val="Comic Sans MS"/>
      <family val="4"/>
    </font>
    <font>
      <sz val="10"/>
      <color indexed="10"/>
      <name val="Arial"/>
      <family val="2"/>
    </font>
    <font>
      <sz val="8"/>
      <name val="Arial"/>
      <family val="2"/>
    </font>
    <font>
      <b/>
      <sz val="10"/>
      <name val="Arial"/>
      <family val="2"/>
    </font>
    <font>
      <b/>
      <sz val="14"/>
      <name val="Arial"/>
      <family val="2"/>
    </font>
    <font>
      <sz val="6"/>
      <color theme="1"/>
      <name val="Arial Unicode MS"/>
      <family val="2"/>
    </font>
    <font>
      <sz val="9"/>
      <color indexed="81"/>
      <name val="Segoe UI"/>
      <family val="2"/>
    </font>
    <font>
      <b/>
      <sz val="9"/>
      <color indexed="81"/>
      <name val="Segoe UI"/>
      <family val="2"/>
    </font>
    <font>
      <sz val="8"/>
      <color theme="0"/>
      <name val="Arial Unicode MS"/>
      <family val="2"/>
    </font>
    <font>
      <b/>
      <sz val="10"/>
      <color indexed="9"/>
      <name val="Arial"/>
      <family val="2"/>
    </font>
    <font>
      <sz val="20"/>
      <name val="Arial"/>
      <family val="2"/>
    </font>
    <font>
      <b/>
      <sz val="24"/>
      <name val="Arial"/>
      <family val="2"/>
    </font>
    <font>
      <sz val="16"/>
      <name val="Arial"/>
      <family val="2"/>
    </font>
    <font>
      <sz val="14"/>
      <name val="Arial"/>
      <family val="2"/>
    </font>
    <font>
      <sz val="11"/>
      <name val="Calibri"/>
      <family val="2"/>
      <scheme val="minor"/>
    </font>
    <font>
      <b/>
      <sz val="10"/>
      <color theme="1"/>
      <name val="Calibri"/>
      <family val="2"/>
      <scheme val="minor"/>
    </font>
    <font>
      <b/>
      <sz val="11"/>
      <name val="Calibri"/>
      <family val="2"/>
    </font>
    <font>
      <sz val="8"/>
      <name val="Calibri"/>
      <family val="2"/>
    </font>
    <font>
      <sz val="11"/>
      <name val="Calibri"/>
      <family val="2"/>
    </font>
  </fonts>
  <fills count="7">
    <fill>
      <patternFill patternType="none"/>
    </fill>
    <fill>
      <patternFill patternType="gray125"/>
    </fill>
    <fill>
      <patternFill patternType="solid">
        <fgColor theme="0" tint="-0.34998626667073579"/>
        <bgColor indexed="64"/>
      </patternFill>
    </fill>
    <fill>
      <patternFill patternType="solid">
        <fgColor rgb="FFFFFF00"/>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bgColor indexed="64"/>
      </patternFill>
    </fill>
  </fills>
  <borders count="4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diagonal/>
    </border>
    <border>
      <left style="thin">
        <color auto="1"/>
      </left>
      <right style="thin">
        <color auto="1"/>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bottom style="thin">
        <color auto="1"/>
      </bottom>
      <diagonal/>
    </border>
    <border>
      <left/>
      <right/>
      <top/>
      <bottom style="medium">
        <color indexed="64"/>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indexed="64"/>
      </right>
      <top style="thin">
        <color auto="1"/>
      </top>
      <bottom/>
      <diagonal/>
    </border>
    <border>
      <left/>
      <right style="thin">
        <color auto="1"/>
      </right>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thin">
        <color auto="1"/>
      </top>
      <bottom style="medium">
        <color auto="1"/>
      </bottom>
      <diagonal/>
    </border>
    <border>
      <left/>
      <right style="thin">
        <color indexed="64"/>
      </right>
      <top style="thin">
        <color indexed="64"/>
      </top>
      <bottom/>
      <diagonal/>
    </border>
    <border>
      <left style="thin">
        <color indexed="64"/>
      </left>
      <right/>
      <top style="thin">
        <color indexed="64"/>
      </top>
      <bottom/>
      <diagonal/>
    </border>
  </borders>
  <cellStyleXfs count="87">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4" fillId="0" borderId="0"/>
    <xf numFmtId="0" fontId="16" fillId="0" borderId="0" applyNumberFormat="0" applyFill="0" applyBorder="0" applyAlignment="0" applyProtection="0"/>
    <xf numFmtId="0" fontId="18" fillId="0" borderId="0"/>
    <xf numFmtId="0" fontId="14" fillId="0" borderId="0"/>
  </cellStyleXfs>
  <cellXfs count="307">
    <xf numFmtId="0" fontId="0" fillId="0" borderId="0" xfId="0"/>
    <xf numFmtId="0" fontId="2" fillId="0" borderId="0" xfId="0" applyFont="1"/>
    <xf numFmtId="0" fontId="3" fillId="0" borderId="0" xfId="0" applyFont="1" applyAlignment="1">
      <alignment horizontal="center" vertical="center" wrapText="1"/>
    </xf>
    <xf numFmtId="0" fontId="4" fillId="0" borderId="2" xfId="0" applyFont="1" applyBorder="1"/>
    <xf numFmtId="0" fontId="2" fillId="0" borderId="2" xfId="0" applyFont="1" applyBorder="1"/>
    <xf numFmtId="0" fontId="2" fillId="0" borderId="0" xfId="0" applyFont="1" applyAlignment="1">
      <alignment horizontal="right"/>
    </xf>
    <xf numFmtId="0" fontId="2" fillId="0" borderId="2" xfId="0" applyFont="1" applyBorder="1" applyAlignment="1">
      <alignment horizontal="center" vertical="center"/>
    </xf>
    <xf numFmtId="0" fontId="2" fillId="0" borderId="0" xfId="0" applyFont="1" applyAlignment="1">
      <alignment horizontal="center" vertical="center"/>
    </xf>
    <xf numFmtId="0" fontId="8" fillId="0" borderId="0" xfId="0" applyFont="1"/>
    <xf numFmtId="0" fontId="2" fillId="0" borderId="0" xfId="0" applyFont="1" applyAlignment="1">
      <alignment horizontal="left" vertical="center"/>
    </xf>
    <xf numFmtId="0" fontId="0" fillId="0" borderId="0" xfId="0" applyFill="1" applyBorder="1"/>
    <xf numFmtId="0" fontId="1" fillId="2" borderId="3" xfId="0" applyFont="1" applyFill="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8" fillId="0" borderId="0" xfId="0" applyFont="1" applyAlignment="1">
      <alignment horizontal="left" vertical="center"/>
    </xf>
    <xf numFmtId="0" fontId="0" fillId="4" borderId="3" xfId="0" quotePrefix="1" applyFill="1" applyBorder="1"/>
    <xf numFmtId="0" fontId="1" fillId="0" borderId="17" xfId="0" applyFont="1" applyFill="1" applyBorder="1" applyAlignment="1">
      <alignment horizontal="center" vertical="center" wrapText="1"/>
    </xf>
    <xf numFmtId="0" fontId="0" fillId="0" borderId="4" xfId="0" applyFill="1" applyBorder="1"/>
    <xf numFmtId="0" fontId="0" fillId="0" borderId="5" xfId="0" applyFill="1" applyBorder="1"/>
    <xf numFmtId="0" fontId="0" fillId="0" borderId="13" xfId="0" applyFill="1" applyBorder="1"/>
    <xf numFmtId="0" fontId="1" fillId="5" borderId="0" xfId="0" applyFont="1" applyFill="1" applyAlignment="1">
      <alignment horizontal="center" vertical="center" wrapText="1"/>
    </xf>
    <xf numFmtId="0" fontId="0" fillId="0" borderId="0" xfId="0" applyAlignment="1">
      <alignment horizontal="left" vertical="center" wrapText="1"/>
    </xf>
    <xf numFmtId="0" fontId="0" fillId="0" borderId="0" xfId="0" applyAlignment="1">
      <alignment horizontal="left" vertical="center"/>
    </xf>
    <xf numFmtId="0" fontId="0" fillId="0" borderId="0" xfId="0" applyFont="1"/>
    <xf numFmtId="0" fontId="1" fillId="5" borderId="17" xfId="0" applyFont="1" applyFill="1" applyBorder="1" applyAlignment="1">
      <alignment horizontal="center" vertical="center" wrapText="1"/>
    </xf>
    <xf numFmtId="0" fontId="1" fillId="5" borderId="17" xfId="0" applyFont="1" applyFill="1" applyBorder="1" applyAlignment="1">
      <alignment horizontal="center" vertical="center"/>
    </xf>
    <xf numFmtId="0" fontId="2" fillId="0" borderId="0" xfId="0" applyFont="1" applyBorder="1" applyAlignment="1">
      <alignment horizontal="center" vertical="center"/>
    </xf>
    <xf numFmtId="0" fontId="11" fillId="0" borderId="0" xfId="0" applyFont="1"/>
    <xf numFmtId="0" fontId="9" fillId="3" borderId="3" xfId="0" applyFont="1" applyFill="1" applyBorder="1" applyAlignment="1">
      <alignment horizontal="center" vertical="center"/>
    </xf>
    <xf numFmtId="0" fontId="9" fillId="0" borderId="0" xfId="0" applyFont="1" applyBorder="1" applyAlignment="1">
      <alignment horizontal="center" vertical="center"/>
    </xf>
    <xf numFmtId="0" fontId="13" fillId="0" borderId="0" xfId="0" applyFont="1" applyBorder="1" applyAlignment="1">
      <alignment horizontal="left" vertical="center"/>
    </xf>
    <xf numFmtId="0" fontId="0" fillId="0" borderId="21" xfId="0" applyBorder="1" applyAlignment="1">
      <alignment horizontal="center" vertical="center"/>
    </xf>
    <xf numFmtId="0" fontId="10" fillId="0" borderId="17" xfId="0" applyFont="1" applyBorder="1" applyAlignment="1">
      <alignment horizontal="center" vertical="center" textRotation="90" wrapText="1"/>
    </xf>
    <xf numFmtId="0" fontId="0" fillId="3" borderId="3" xfId="0" applyFill="1" applyBorder="1" applyAlignment="1" applyProtection="1">
      <alignment horizontal="center"/>
      <protection locked="0"/>
    </xf>
    <xf numFmtId="0" fontId="9" fillId="6" borderId="3" xfId="0" applyFont="1" applyFill="1" applyBorder="1" applyAlignment="1">
      <alignment horizontal="center"/>
    </xf>
    <xf numFmtId="0" fontId="4" fillId="0" borderId="0" xfId="0" applyFont="1" applyBorder="1" applyAlignment="1">
      <alignment horizontal="left" vertical="center"/>
    </xf>
    <xf numFmtId="0" fontId="12" fillId="0" borderId="0" xfId="0" applyFont="1" applyBorder="1"/>
    <xf numFmtId="0" fontId="9" fillId="0" borderId="0" xfId="0" applyFont="1" applyBorder="1" applyAlignment="1">
      <alignment horizontal="left" vertical="center"/>
    </xf>
    <xf numFmtId="0" fontId="9" fillId="0" borderId="0" xfId="0" applyFont="1" applyBorder="1"/>
    <xf numFmtId="0" fontId="2" fillId="0" borderId="0" xfId="0" applyFont="1" applyBorder="1"/>
    <xf numFmtId="0" fontId="0" fillId="0" borderId="3" xfId="0" applyBorder="1" applyAlignment="1">
      <alignment horizontal="center" vertical="center"/>
    </xf>
    <xf numFmtId="0" fontId="1" fillId="5" borderId="3" xfId="0" applyFont="1" applyFill="1" applyBorder="1" applyAlignment="1">
      <alignment horizontal="center" vertical="center" wrapText="1"/>
    </xf>
    <xf numFmtId="0" fontId="1" fillId="5" borderId="3" xfId="0" applyFont="1" applyFill="1" applyBorder="1" applyAlignment="1">
      <alignment horizontal="center" vertical="center"/>
    </xf>
    <xf numFmtId="0" fontId="0" fillId="0" borderId="0" xfId="0" applyAlignment="1" applyProtection="1">
      <alignment horizontal="left" vertical="center" wrapText="1"/>
      <protection locked="0"/>
    </xf>
    <xf numFmtId="0" fontId="0" fillId="0" borderId="0" xfId="0" applyProtection="1">
      <protection locked="0"/>
    </xf>
    <xf numFmtId="0" fontId="0" fillId="0" borderId="3" xfId="0" applyBorder="1" applyAlignment="1">
      <alignment horizontal="center"/>
    </xf>
    <xf numFmtId="0" fontId="0" fillId="0" borderId="0" xfId="0" applyFill="1"/>
    <xf numFmtId="0" fontId="17" fillId="0" borderId="0" xfId="0" applyFont="1" applyBorder="1" applyAlignment="1">
      <alignment horizontal="left" vertical="center"/>
    </xf>
    <xf numFmtId="0" fontId="0" fillId="0" borderId="0" xfId="0" applyBorder="1" applyAlignment="1">
      <alignment horizontal="center"/>
    </xf>
    <xf numFmtId="0" fontId="0" fillId="0" borderId="0" xfId="0" applyFont="1" applyAlignment="1" applyProtection="1">
      <alignment horizontal="left" vertical="center"/>
      <protection locked="0"/>
    </xf>
    <xf numFmtId="49" fontId="2" fillId="3" borderId="1" xfId="0" applyNumberFormat="1" applyFont="1" applyFill="1" applyBorder="1" applyAlignment="1" applyProtection="1">
      <alignment horizontal="center" vertical="center" wrapText="1"/>
      <protection locked="0"/>
    </xf>
    <xf numFmtId="49" fontId="9" fillId="3"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0" fontId="9" fillId="0" borderId="0" xfId="0" applyFont="1" applyFill="1" applyAlignment="1">
      <alignment wrapText="1"/>
    </xf>
    <xf numFmtId="0" fontId="0" fillId="0" borderId="13" xfId="0" applyBorder="1" applyAlignment="1">
      <alignment horizontal="center" vertical="center"/>
    </xf>
    <xf numFmtId="0" fontId="1" fillId="4" borderId="17" xfId="0" applyFont="1" applyFill="1" applyBorder="1" applyAlignment="1">
      <alignment horizontal="center" vertical="center" wrapText="1"/>
    </xf>
    <xf numFmtId="0" fontId="0" fillId="0" borderId="4" xfId="0" applyBorder="1"/>
    <xf numFmtId="0" fontId="0" fillId="0" borderId="26" xfId="0" applyBorder="1"/>
    <xf numFmtId="0" fontId="0" fillId="0" borderId="21" xfId="0" applyBorder="1"/>
    <xf numFmtId="0" fontId="0" fillId="0" borderId="4"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0" xfId="0" applyAlignment="1"/>
    <xf numFmtId="0" fontId="0" fillId="0" borderId="0" xfId="0" applyAlignment="1"/>
    <xf numFmtId="0" fontId="19" fillId="0" borderId="0" xfId="85" applyFont="1"/>
    <xf numFmtId="0" fontId="18" fillId="0" borderId="0" xfId="85"/>
    <xf numFmtId="0" fontId="20" fillId="0" borderId="0" xfId="85" applyFont="1" applyAlignment="1">
      <alignment horizontal="center"/>
    </xf>
    <xf numFmtId="0" fontId="21" fillId="0" borderId="0" xfId="85" applyFont="1"/>
    <xf numFmtId="0" fontId="22" fillId="0" borderId="0" xfId="85" applyFont="1"/>
    <xf numFmtId="0" fontId="23" fillId="0" borderId="0" xfId="85" applyFont="1" applyAlignment="1">
      <alignment horizontal="right"/>
    </xf>
    <xf numFmtId="0" fontId="23" fillId="0" borderId="0" xfId="85" applyFont="1" applyAlignment="1">
      <alignment horizontal="center"/>
    </xf>
    <xf numFmtId="0" fontId="22" fillId="0" borderId="27" xfId="85" applyFont="1" applyBorder="1" applyAlignment="1">
      <alignment horizontal="center"/>
    </xf>
    <xf numFmtId="0" fontId="22" fillId="0" borderId="0" xfId="85" applyFont="1" applyAlignment="1">
      <alignment horizontal="center"/>
    </xf>
    <xf numFmtId="0" fontId="0" fillId="0" borderId="0" xfId="85" applyFont="1"/>
    <xf numFmtId="0" fontId="20" fillId="0" borderId="0" xfId="85" applyFont="1"/>
    <xf numFmtId="0" fontId="24" fillId="0" borderId="0" xfId="85" applyFont="1"/>
    <xf numFmtId="0" fontId="18" fillId="0" borderId="0" xfId="85" applyAlignment="1"/>
    <xf numFmtId="0" fontId="18" fillId="0" borderId="0" xfId="85" applyAlignment="1">
      <alignment vertical="center"/>
    </xf>
    <xf numFmtId="0" fontId="25" fillId="0" borderId="0" xfId="0" applyFont="1" applyAlignment="1">
      <alignment horizontal="center" vertical="center" wrapText="1"/>
    </xf>
    <xf numFmtId="0" fontId="26" fillId="0" borderId="0" xfId="0" applyFont="1" applyAlignment="1">
      <alignment horizontal="center"/>
    </xf>
    <xf numFmtId="0" fontId="26" fillId="0" borderId="0" xfId="0" applyFont="1" applyAlignment="1">
      <alignment horizontal="center" vertical="center" wrapText="1"/>
    </xf>
    <xf numFmtId="0" fontId="27" fillId="0" borderId="0" xfId="85" applyFont="1"/>
    <xf numFmtId="0" fontId="14" fillId="0" borderId="0" xfId="85" applyFont="1"/>
    <xf numFmtId="0" fontId="12" fillId="4" borderId="0" xfId="0" applyFont="1" applyFill="1" applyBorder="1"/>
    <xf numFmtId="0" fontId="2" fillId="0" borderId="0" xfId="0" applyNumberFormat="1" applyFont="1"/>
    <xf numFmtId="0" fontId="2" fillId="0" borderId="0" xfId="0" applyNumberFormat="1" applyFont="1" applyBorder="1"/>
    <xf numFmtId="0" fontId="10" fillId="0" borderId="17" xfId="0" applyNumberFormat="1" applyFont="1" applyBorder="1" applyAlignment="1">
      <alignment horizontal="center" vertical="center" textRotation="90" wrapText="1"/>
    </xf>
    <xf numFmtId="0" fontId="2" fillId="3" borderId="1" xfId="0" applyNumberFormat="1" applyFont="1" applyFill="1" applyBorder="1" applyAlignment="1" applyProtection="1">
      <alignment horizontal="center" vertical="center" wrapText="1"/>
      <protection locked="0"/>
    </xf>
    <xf numFmtId="0" fontId="2" fillId="0" borderId="0" xfId="0" applyFont="1" applyBorder="1" applyAlignment="1">
      <alignment horizontal="center" vertical="center"/>
    </xf>
    <xf numFmtId="0" fontId="9" fillId="0" borderId="0" xfId="0" applyFont="1" applyAlignment="1">
      <alignment horizontal="center" vertical="center" wrapText="1"/>
    </xf>
    <xf numFmtId="0" fontId="9" fillId="3" borderId="22" xfId="0" applyFont="1" applyFill="1" applyBorder="1" applyAlignment="1" applyProtection="1">
      <alignment horizontal="center" vertical="center" wrapText="1"/>
      <protection locked="0"/>
    </xf>
    <xf numFmtId="0" fontId="2" fillId="0" borderId="0" xfId="0" quotePrefix="1" applyFont="1" applyBorder="1"/>
    <xf numFmtId="1" fontId="2" fillId="0" borderId="0" xfId="0" applyNumberFormat="1" applyFont="1"/>
    <xf numFmtId="1" fontId="2" fillId="0" borderId="0" xfId="0" applyNumberFormat="1" applyFont="1" applyBorder="1"/>
    <xf numFmtId="1" fontId="14" fillId="0" borderId="0" xfId="85" applyNumberFormat="1" applyFont="1"/>
    <xf numFmtId="1" fontId="18" fillId="0" borderId="0" xfId="85" applyNumberFormat="1"/>
    <xf numFmtId="0" fontId="31" fillId="0" borderId="0" xfId="0" applyFont="1" applyFill="1" applyBorder="1"/>
    <xf numFmtId="0" fontId="2" fillId="0" borderId="0" xfId="0" applyFont="1" applyFill="1" applyAlignment="1">
      <alignment horizontal="center"/>
    </xf>
    <xf numFmtId="0" fontId="10" fillId="0" borderId="3" xfId="0" applyFont="1" applyBorder="1" applyAlignment="1">
      <alignment horizontal="center" vertical="center" textRotation="90" wrapText="1"/>
    </xf>
    <xf numFmtId="0" fontId="10" fillId="0" borderId="3" xfId="0" applyNumberFormat="1" applyFont="1" applyBorder="1" applyAlignment="1">
      <alignment horizontal="center" vertical="center" textRotation="90" wrapText="1"/>
    </xf>
    <xf numFmtId="0" fontId="0" fillId="0" borderId="0" xfId="0" applyAlignment="1"/>
    <xf numFmtId="0" fontId="2" fillId="0" borderId="0" xfId="0" applyFont="1" applyBorder="1" applyAlignment="1">
      <alignment horizontal="center" vertical="center"/>
    </xf>
    <xf numFmtId="0" fontId="1" fillId="5" borderId="18" xfId="0" applyFont="1" applyFill="1" applyBorder="1" applyAlignment="1">
      <alignment horizontal="center" vertical="center"/>
    </xf>
    <xf numFmtId="0" fontId="1" fillId="5" borderId="19" xfId="0" applyFont="1" applyFill="1" applyBorder="1" applyAlignment="1">
      <alignment horizontal="center" vertical="center"/>
    </xf>
    <xf numFmtId="0" fontId="0" fillId="0" borderId="28" xfId="0" applyFill="1" applyBorder="1"/>
    <xf numFmtId="14" fontId="0" fillId="0" borderId="29" xfId="0" applyNumberFormat="1" applyFill="1" applyBorder="1" applyAlignment="1">
      <alignment horizontal="left"/>
    </xf>
    <xf numFmtId="0" fontId="0" fillId="0" borderId="29" xfId="0" applyFill="1" applyBorder="1"/>
    <xf numFmtId="0" fontId="0" fillId="0" borderId="30" xfId="0" applyFill="1" applyBorder="1"/>
    <xf numFmtId="0" fontId="1" fillId="5" borderId="4" xfId="0" applyFont="1" applyFill="1" applyBorder="1"/>
    <xf numFmtId="0" fontId="1" fillId="5" borderId="26" xfId="0" applyFont="1" applyFill="1" applyBorder="1"/>
    <xf numFmtId="0" fontId="1" fillId="5" borderId="21" xfId="0" applyFont="1" applyFill="1" applyBorder="1"/>
    <xf numFmtId="0" fontId="1" fillId="4" borderId="8" xfId="0" applyFont="1" applyFill="1" applyBorder="1"/>
    <xf numFmtId="0" fontId="1" fillId="4" borderId="10" xfId="0" applyFont="1" applyFill="1" applyBorder="1"/>
    <xf numFmtId="0" fontId="2" fillId="0" borderId="0" xfId="0" applyNumberFormat="1" applyFont="1" applyProtection="1"/>
    <xf numFmtId="0" fontId="2" fillId="0" borderId="0" xfId="0" applyNumberFormat="1" applyFont="1" applyBorder="1" applyProtection="1"/>
    <xf numFmtId="0" fontId="10" fillId="0" borderId="17" xfId="0" applyNumberFormat="1" applyFont="1" applyBorder="1" applyAlignment="1" applyProtection="1">
      <alignment horizontal="center" vertical="center" textRotation="90" wrapText="1"/>
    </xf>
    <xf numFmtId="0" fontId="2" fillId="0" borderId="1" xfId="0" applyNumberFormat="1" applyFont="1" applyFill="1" applyBorder="1" applyAlignment="1" applyProtection="1">
      <alignment horizontal="center" vertical="center" wrapText="1"/>
    </xf>
    <xf numFmtId="0" fontId="2" fillId="0" borderId="0" xfId="0" applyFont="1" applyProtection="1"/>
    <xf numFmtId="0" fontId="2" fillId="0" borderId="0" xfId="0" applyFont="1" applyBorder="1" applyProtection="1"/>
    <xf numFmtId="49" fontId="2" fillId="3" borderId="24" xfId="0" applyNumberFormat="1" applyFont="1" applyFill="1" applyBorder="1" applyAlignment="1" applyProtection="1">
      <alignment horizontal="center" vertical="center" wrapText="1"/>
      <protection locked="0"/>
    </xf>
    <xf numFmtId="1" fontId="2" fillId="3" borderId="1" xfId="0" applyNumberFormat="1" applyFont="1" applyFill="1" applyBorder="1" applyAlignment="1" applyProtection="1">
      <alignment horizontal="center" vertical="center" wrapText="1"/>
      <protection locked="0"/>
    </xf>
    <xf numFmtId="0" fontId="9" fillId="3" borderId="1" xfId="0" applyFont="1" applyFill="1" applyBorder="1" applyAlignment="1" applyProtection="1">
      <alignment horizontal="center" vertical="center" wrapText="1"/>
      <protection locked="0"/>
    </xf>
    <xf numFmtId="0" fontId="9" fillId="3" borderId="24" xfId="0" applyFont="1" applyFill="1" applyBorder="1" applyAlignment="1" applyProtection="1">
      <alignment horizontal="center" vertical="center" wrapText="1"/>
      <protection locked="0"/>
    </xf>
    <xf numFmtId="0" fontId="2" fillId="0" borderId="24" xfId="0" applyNumberFormat="1" applyFont="1" applyFill="1" applyBorder="1" applyAlignment="1" applyProtection="1">
      <alignment horizontal="center" vertical="center" wrapText="1"/>
    </xf>
    <xf numFmtId="0" fontId="10" fillId="0" borderId="3" xfId="0" applyNumberFormat="1" applyFont="1" applyBorder="1" applyAlignment="1" applyProtection="1">
      <alignment horizontal="center" vertical="center" textRotation="90" wrapText="1"/>
    </xf>
    <xf numFmtId="1" fontId="2" fillId="3" borderId="24" xfId="0" applyNumberFormat="1" applyFont="1" applyFill="1" applyBorder="1" applyAlignment="1" applyProtection="1">
      <alignment horizontal="center" vertical="center" wrapText="1"/>
      <protection locked="0"/>
    </xf>
    <xf numFmtId="1" fontId="10" fillId="0" borderId="3" xfId="0" applyNumberFormat="1" applyFont="1" applyBorder="1" applyAlignment="1">
      <alignment horizontal="center" vertical="center" textRotation="90" wrapText="1"/>
    </xf>
    <xf numFmtId="0" fontId="0" fillId="0" borderId="0" xfId="0" applyAlignment="1"/>
    <xf numFmtId="0" fontId="14" fillId="0" borderId="0" xfId="86"/>
    <xf numFmtId="0" fontId="26" fillId="0" borderId="0" xfId="86" applyFont="1"/>
    <xf numFmtId="0" fontId="14" fillId="0" borderId="0" xfId="86" applyFill="1" applyBorder="1"/>
    <xf numFmtId="0" fontId="32" fillId="0" borderId="0" xfId="86" applyFont="1" applyFill="1" applyBorder="1"/>
    <xf numFmtId="0" fontId="33" fillId="0" borderId="0" xfId="86" applyFont="1" applyAlignment="1">
      <alignment horizontal="center"/>
    </xf>
    <xf numFmtId="14" fontId="14" fillId="0" borderId="0" xfId="86" applyNumberFormat="1" applyFont="1" applyAlignment="1">
      <alignment horizontal="center"/>
    </xf>
    <xf numFmtId="0" fontId="14" fillId="0" borderId="0" xfId="86" applyAlignment="1">
      <alignment horizontal="center"/>
    </xf>
    <xf numFmtId="0" fontId="34" fillId="0" borderId="0" xfId="86" applyFont="1" applyAlignment="1">
      <alignment horizontal="center"/>
    </xf>
    <xf numFmtId="14" fontId="35" fillId="0" borderId="0" xfId="86" applyNumberFormat="1" applyFont="1" applyAlignment="1">
      <alignment horizontal="center"/>
    </xf>
    <xf numFmtId="0" fontId="14" fillId="0" borderId="0" xfId="86" applyFont="1" applyAlignment="1">
      <alignment horizontal="left"/>
    </xf>
    <xf numFmtId="0" fontId="15" fillId="3" borderId="26" xfId="83" applyFont="1" applyFill="1" applyBorder="1" applyProtection="1">
      <protection locked="0"/>
    </xf>
    <xf numFmtId="0" fontId="15" fillId="3" borderId="31" xfId="83" applyFont="1" applyFill="1" applyBorder="1" applyProtection="1">
      <protection locked="0"/>
    </xf>
    <xf numFmtId="0" fontId="15" fillId="3" borderId="31" xfId="83" applyFont="1" applyFill="1" applyBorder="1" applyAlignment="1" applyProtection="1">
      <alignment horizontal="left"/>
      <protection locked="0"/>
    </xf>
    <xf numFmtId="49" fontId="15" fillId="3" borderId="31" xfId="83" quotePrefix="1" applyNumberFormat="1" applyFont="1" applyFill="1" applyBorder="1" applyProtection="1">
      <protection locked="0"/>
    </xf>
    <xf numFmtId="0" fontId="16" fillId="3" borderId="32" xfId="84" applyFill="1" applyBorder="1" applyProtection="1">
      <protection locked="0"/>
    </xf>
    <xf numFmtId="0" fontId="15" fillId="3" borderId="5" xfId="83" applyFont="1" applyFill="1" applyBorder="1" applyProtection="1">
      <protection locked="0"/>
    </xf>
    <xf numFmtId="0" fontId="1" fillId="4" borderId="23" xfId="0" applyFont="1" applyFill="1" applyBorder="1"/>
    <xf numFmtId="0" fontId="15" fillId="3" borderId="33" xfId="83" applyFont="1" applyFill="1" applyBorder="1" applyProtection="1">
      <protection locked="0"/>
    </xf>
    <xf numFmtId="0" fontId="27" fillId="0" borderId="0" xfId="86" applyFont="1"/>
    <xf numFmtId="0" fontId="16" fillId="3" borderId="21" xfId="84" applyFill="1" applyBorder="1" applyProtection="1">
      <protection locked="0"/>
    </xf>
    <xf numFmtId="14" fontId="36" fillId="0" borderId="0" xfId="86" applyNumberFormat="1" applyFont="1" applyAlignment="1">
      <alignment horizontal="center"/>
    </xf>
    <xf numFmtId="0" fontId="0" fillId="0" borderId="0" xfId="0" applyFill="1" applyAlignment="1"/>
    <xf numFmtId="0" fontId="13" fillId="0" borderId="0" xfId="0" applyFont="1" applyBorder="1" applyAlignment="1">
      <alignment horizontal="left" vertical="center" wrapText="1"/>
    </xf>
    <xf numFmtId="0" fontId="0" fillId="0" borderId="0" xfId="0" applyAlignment="1">
      <alignment wrapText="1"/>
    </xf>
    <xf numFmtId="0" fontId="17" fillId="0" borderId="0" xfId="0" applyFont="1" applyBorder="1" applyAlignment="1">
      <alignment horizontal="left" vertical="center" wrapText="1"/>
    </xf>
    <xf numFmtId="0" fontId="0" fillId="0" borderId="0" xfId="0" applyBorder="1" applyAlignment="1">
      <alignment horizontal="center" wrapText="1"/>
    </xf>
    <xf numFmtId="1" fontId="37" fillId="0" borderId="20" xfId="0" applyNumberFormat="1" applyFont="1" applyFill="1" applyBorder="1" applyAlignment="1">
      <alignment horizontal="center" vertical="center" wrapText="1"/>
    </xf>
    <xf numFmtId="1" fontId="37" fillId="0" borderId="7" xfId="0" applyNumberFormat="1" applyFont="1" applyFill="1" applyBorder="1" applyAlignment="1">
      <alignment horizontal="center" vertical="center" wrapText="1"/>
    </xf>
    <xf numFmtId="1" fontId="37" fillId="0" borderId="1" xfId="0" applyNumberFormat="1" applyFont="1" applyFill="1" applyBorder="1" applyAlignment="1">
      <alignment horizontal="center" vertical="center" wrapText="1"/>
    </xf>
    <xf numFmtId="1" fontId="37" fillId="0" borderId="9" xfId="0" applyNumberFormat="1" applyFont="1" applyFill="1" applyBorder="1" applyAlignment="1">
      <alignment horizontal="center" vertical="center" wrapText="1"/>
    </xf>
    <xf numFmtId="1" fontId="37" fillId="0" borderId="11" xfId="0" applyNumberFormat="1" applyFont="1" applyFill="1" applyBorder="1" applyAlignment="1">
      <alignment horizontal="center" vertical="center" wrapText="1"/>
    </xf>
    <xf numFmtId="1" fontId="37" fillId="0" borderId="12" xfId="0" applyNumberFormat="1" applyFont="1" applyFill="1" applyBorder="1" applyAlignment="1">
      <alignment horizontal="center" vertical="center" wrapText="1"/>
    </xf>
    <xf numFmtId="0" fontId="37" fillId="0" borderId="6" xfId="0" applyFont="1" applyFill="1" applyBorder="1" applyAlignment="1">
      <alignment horizontal="center" vertical="center" wrapText="1"/>
    </xf>
    <xf numFmtId="0" fontId="37" fillId="0" borderId="8" xfId="0" applyFont="1" applyFill="1" applyBorder="1" applyAlignment="1">
      <alignment horizontal="center" vertical="center" wrapText="1"/>
    </xf>
    <xf numFmtId="0" fontId="37" fillId="0" borderId="10" xfId="0" applyFont="1" applyFill="1" applyBorder="1" applyAlignment="1">
      <alignment horizontal="center" vertical="center" wrapText="1"/>
    </xf>
    <xf numFmtId="0" fontId="2" fillId="0" borderId="0" xfId="0" quotePrefix="1" applyFont="1"/>
    <xf numFmtId="164" fontId="2" fillId="0" borderId="24" xfId="0" applyNumberFormat="1" applyFont="1" applyFill="1" applyBorder="1" applyAlignment="1" applyProtection="1">
      <alignment horizontal="center" vertical="center" wrapText="1"/>
    </xf>
    <xf numFmtId="0" fontId="10" fillId="5" borderId="17" xfId="0" applyFont="1" applyFill="1" applyBorder="1" applyAlignment="1">
      <alignment horizontal="center" vertical="center" textRotation="90" wrapText="1"/>
    </xf>
    <xf numFmtId="0" fontId="10" fillId="5" borderId="17" xfId="0" applyFont="1" applyFill="1" applyBorder="1" applyAlignment="1">
      <alignment horizontal="center" vertical="center" wrapText="1"/>
    </xf>
    <xf numFmtId="164" fontId="9" fillId="0" borderId="0" xfId="0" applyNumberFormat="1" applyFont="1" applyBorder="1"/>
    <xf numFmtId="0" fontId="9" fillId="0" borderId="3" xfId="0" applyFont="1" applyBorder="1" applyAlignment="1">
      <alignment horizontal="center" vertical="center"/>
    </xf>
    <xf numFmtId="0" fontId="2" fillId="0" borderId="34" xfId="0" applyFont="1" applyBorder="1" applyAlignment="1"/>
    <xf numFmtId="0" fontId="2" fillId="0" borderId="0" xfId="0" applyFont="1" applyBorder="1" applyAlignment="1">
      <alignment horizontal="center" vertical="center"/>
    </xf>
    <xf numFmtId="0" fontId="10" fillId="5" borderId="17" xfId="0" applyNumberFormat="1" applyFont="1" applyFill="1" applyBorder="1" applyAlignment="1">
      <alignment horizontal="center" vertical="center" textRotation="90" wrapText="1"/>
    </xf>
    <xf numFmtId="0" fontId="38" fillId="5" borderId="17" xfId="0" applyFont="1" applyFill="1" applyBorder="1" applyAlignment="1">
      <alignment horizontal="center" vertical="center" wrapText="1"/>
    </xf>
    <xf numFmtId="0" fontId="38" fillId="5" borderId="0" xfId="0" applyFont="1" applyFill="1" applyAlignment="1">
      <alignment horizontal="center" vertical="center" wrapText="1"/>
    </xf>
    <xf numFmtId="0" fontId="9" fillId="3" borderId="3" xfId="0" applyFont="1" applyFill="1" applyBorder="1" applyAlignment="1" applyProtection="1">
      <alignment horizontal="center" vertical="center"/>
      <protection locked="0"/>
    </xf>
    <xf numFmtId="0" fontId="39" fillId="0" borderId="20" xfId="0" applyFont="1" applyFill="1" applyBorder="1" applyAlignment="1">
      <alignment horizontal="left" vertical="center" wrapText="1"/>
    </xf>
    <xf numFmtId="0" fontId="39" fillId="0" borderId="1" xfId="0" applyFont="1" applyFill="1" applyBorder="1" applyAlignment="1">
      <alignment horizontal="left" vertical="center" wrapText="1"/>
    </xf>
    <xf numFmtId="0" fontId="39" fillId="0" borderId="11" xfId="0" applyFont="1" applyFill="1" applyBorder="1" applyAlignment="1">
      <alignment horizontal="left" vertical="center" wrapText="1"/>
    </xf>
    <xf numFmtId="0" fontId="40" fillId="0" borderId="6" xfId="0" applyFont="1" applyFill="1" applyBorder="1" applyAlignment="1">
      <alignment horizontal="center" vertical="center" wrapText="1"/>
    </xf>
    <xf numFmtId="0" fontId="40" fillId="0" borderId="20" xfId="0" applyFont="1" applyFill="1" applyBorder="1" applyAlignment="1">
      <alignment horizontal="left" vertical="center" wrapText="1"/>
    </xf>
    <xf numFmtId="1" fontId="40" fillId="0" borderId="20" xfId="0" applyNumberFormat="1" applyFont="1" applyFill="1" applyBorder="1" applyAlignment="1" applyProtection="1">
      <alignment horizontal="center" vertical="center" wrapText="1"/>
      <protection locked="0"/>
    </xf>
    <xf numFmtId="1" fontId="40" fillId="0" borderId="20" xfId="0" applyNumberFormat="1" applyFont="1" applyFill="1" applyBorder="1" applyAlignment="1">
      <alignment horizontal="center" vertical="center" wrapText="1"/>
    </xf>
    <xf numFmtId="0" fontId="40" fillId="0" borderId="23" xfId="0" applyFont="1" applyFill="1" applyBorder="1" applyAlignment="1">
      <alignment horizontal="center" vertical="center" wrapText="1"/>
    </xf>
    <xf numFmtId="0" fontId="40" fillId="0" borderId="24" xfId="0" applyFont="1" applyFill="1" applyBorder="1" applyAlignment="1">
      <alignment horizontal="left" vertical="center" wrapText="1"/>
    </xf>
    <xf numFmtId="1" fontId="40" fillId="0" borderId="24" xfId="0" applyNumberFormat="1" applyFont="1" applyFill="1" applyBorder="1" applyAlignment="1" applyProtection="1">
      <alignment horizontal="center" vertical="center" wrapText="1"/>
      <protection locked="0"/>
    </xf>
    <xf numFmtId="1" fontId="40" fillId="0" borderId="24" xfId="0" applyNumberFormat="1" applyFont="1" applyFill="1" applyBorder="1" applyAlignment="1">
      <alignment horizontal="center" vertical="center" wrapText="1"/>
    </xf>
    <xf numFmtId="0" fontId="40" fillId="0" borderId="8" xfId="0" applyFont="1" applyFill="1" applyBorder="1" applyAlignment="1">
      <alignment horizontal="center" vertical="center" wrapText="1"/>
    </xf>
    <xf numFmtId="0" fontId="40" fillId="0" borderId="1" xfId="0" applyFont="1" applyFill="1" applyBorder="1" applyAlignment="1">
      <alignment horizontal="left" vertical="center" wrapText="1"/>
    </xf>
    <xf numFmtId="1" fontId="40" fillId="0" borderId="1" xfId="0" applyNumberFormat="1" applyFont="1" applyFill="1" applyBorder="1" applyAlignment="1" applyProtection="1">
      <alignment horizontal="center" vertical="center" wrapText="1"/>
      <protection locked="0"/>
    </xf>
    <xf numFmtId="1" fontId="40" fillId="0" borderId="1" xfId="0" applyNumberFormat="1" applyFont="1" applyFill="1" applyBorder="1" applyAlignment="1">
      <alignment horizontal="center" vertical="center" wrapText="1"/>
    </xf>
    <xf numFmtId="0" fontId="40" fillId="0" borderId="10" xfId="0" applyFont="1" applyFill="1" applyBorder="1" applyAlignment="1">
      <alignment horizontal="center" vertical="center" wrapText="1"/>
    </xf>
    <xf numFmtId="0" fontId="40" fillId="0" borderId="11" xfId="0" applyFont="1" applyFill="1" applyBorder="1" applyAlignment="1">
      <alignment horizontal="left" vertical="center" wrapText="1"/>
    </xf>
    <xf numFmtId="1" fontId="40" fillId="0" borderId="11" xfId="0" applyNumberFormat="1" applyFont="1" applyFill="1" applyBorder="1" applyAlignment="1" applyProtection="1">
      <alignment horizontal="center" vertical="center" wrapText="1"/>
      <protection locked="0"/>
    </xf>
    <xf numFmtId="1" fontId="40" fillId="0" borderId="11" xfId="0" applyNumberFormat="1" applyFont="1" applyFill="1" applyBorder="1" applyAlignment="1">
      <alignment horizontal="center" vertical="center" wrapText="1"/>
    </xf>
    <xf numFmtId="0" fontId="40" fillId="0" borderId="20" xfId="0" applyFont="1" applyFill="1" applyBorder="1" applyAlignment="1">
      <alignment horizontal="center" vertical="center" wrapText="1"/>
    </xf>
    <xf numFmtId="0" fontId="40" fillId="0" borderId="24" xfId="0" applyFont="1" applyFill="1" applyBorder="1" applyAlignment="1">
      <alignment horizontal="center" vertical="center" wrapText="1"/>
    </xf>
    <xf numFmtId="0" fontId="40" fillId="0" borderId="1" xfId="0" applyFont="1" applyFill="1" applyBorder="1" applyAlignment="1">
      <alignment horizontal="center" vertical="center" wrapText="1"/>
    </xf>
    <xf numFmtId="0" fontId="40" fillId="0" borderId="11" xfId="0" applyFont="1" applyFill="1" applyBorder="1" applyAlignment="1">
      <alignment horizontal="center" vertical="center" wrapText="1"/>
    </xf>
    <xf numFmtId="0" fontId="40" fillId="0" borderId="35" xfId="0" applyFont="1" applyFill="1" applyBorder="1" applyAlignment="1">
      <alignment horizontal="center" vertical="center" wrapText="1"/>
    </xf>
    <xf numFmtId="0" fontId="40" fillId="0" borderId="36" xfId="0" applyFont="1" applyFill="1" applyBorder="1" applyAlignment="1">
      <alignment horizontal="left" vertical="center" wrapText="1"/>
    </xf>
    <xf numFmtId="1" fontId="40" fillId="0" borderId="36" xfId="0" applyNumberFormat="1" applyFont="1" applyFill="1" applyBorder="1" applyAlignment="1" applyProtection="1">
      <alignment horizontal="center" vertical="center" wrapText="1"/>
      <protection locked="0"/>
    </xf>
    <xf numFmtId="1" fontId="40" fillId="0" borderId="36" xfId="0" applyNumberFormat="1" applyFont="1" applyFill="1" applyBorder="1" applyAlignment="1">
      <alignment horizontal="center" vertical="center" wrapText="1"/>
    </xf>
    <xf numFmtId="0" fontId="40" fillId="0" borderId="36" xfId="0" applyFont="1" applyFill="1" applyBorder="1" applyAlignment="1">
      <alignment horizontal="center" vertical="center" wrapText="1"/>
    </xf>
    <xf numFmtId="0" fontId="37" fillId="0" borderId="0" xfId="0" applyFont="1" applyAlignment="1" applyProtection="1">
      <alignment horizontal="left" vertical="center" wrapText="1"/>
      <protection locked="0"/>
    </xf>
    <xf numFmtId="0" fontId="37" fillId="0" borderId="0" xfId="0" applyFont="1"/>
    <xf numFmtId="0" fontId="37" fillId="0" borderId="8" xfId="0" applyFont="1" applyBorder="1" applyAlignment="1">
      <alignment horizontal="left" vertical="center" wrapText="1"/>
    </xf>
    <xf numFmtId="0" fontId="37" fillId="0" borderId="1" xfId="0" applyFont="1" applyBorder="1" applyAlignment="1">
      <alignment horizontal="left" vertical="center" wrapText="1"/>
    </xf>
    <xf numFmtId="0" fontId="37" fillId="0" borderId="9" xfId="0" applyFont="1" applyBorder="1" applyAlignment="1">
      <alignment horizontal="left" vertical="center" wrapText="1"/>
    </xf>
    <xf numFmtId="0" fontId="37" fillId="0" borderId="0" xfId="0" applyFont="1" applyAlignment="1">
      <alignment horizontal="left" vertical="center" wrapText="1"/>
    </xf>
    <xf numFmtId="0" fontId="37" fillId="0" borderId="0" xfId="0" applyFont="1" applyProtection="1">
      <protection locked="0"/>
    </xf>
    <xf numFmtId="0" fontId="37" fillId="0" borderId="10" xfId="0" applyFont="1" applyBorder="1" applyAlignment="1">
      <alignment horizontal="left" vertical="center" wrapText="1"/>
    </xf>
    <xf numFmtId="0" fontId="37" fillId="0" borderId="11" xfId="0" applyFont="1" applyBorder="1" applyAlignment="1">
      <alignment horizontal="left" vertical="center" wrapText="1"/>
    </xf>
    <xf numFmtId="0" fontId="37" fillId="0" borderId="12" xfId="0" applyFont="1" applyBorder="1" applyAlignment="1">
      <alignment horizontal="left" vertical="center" wrapText="1"/>
    </xf>
    <xf numFmtId="0" fontId="37" fillId="0" borderId="0" xfId="0" applyFont="1" applyFill="1" applyAlignment="1" applyProtection="1">
      <protection locked="0"/>
    </xf>
    <xf numFmtId="0" fontId="37" fillId="0" borderId="8" xfId="0" applyFont="1" applyBorder="1" applyAlignment="1">
      <alignment horizontal="center" vertical="center" wrapText="1"/>
    </xf>
    <xf numFmtId="0" fontId="37" fillId="0" borderId="0" xfId="0" applyFont="1" applyAlignment="1" applyProtection="1">
      <alignment vertical="center"/>
      <protection locked="0"/>
    </xf>
    <xf numFmtId="0" fontId="37" fillId="0" borderId="10" xfId="0" applyFont="1" applyBorder="1" applyAlignment="1">
      <alignment horizontal="center" vertical="center" wrapText="1"/>
    </xf>
    <xf numFmtId="0" fontId="1" fillId="5" borderId="3" xfId="0" applyFont="1" applyFill="1" applyBorder="1" applyAlignment="1" applyProtection="1">
      <alignment horizontal="center" vertical="center" wrapText="1"/>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40" fillId="0" borderId="39" xfId="0" applyFont="1" applyFill="1" applyBorder="1" applyAlignment="1">
      <alignment horizontal="center" vertical="center" wrapText="1"/>
    </xf>
    <xf numFmtId="1" fontId="40" fillId="0" borderId="40" xfId="0" applyNumberFormat="1" applyFont="1" applyFill="1" applyBorder="1" applyAlignment="1">
      <alignment horizontal="center" vertical="center" wrapText="1"/>
    </xf>
    <xf numFmtId="1" fontId="40" fillId="0" borderId="7" xfId="0" applyNumberFormat="1" applyFont="1" applyFill="1" applyBorder="1" applyAlignment="1">
      <alignment horizontal="center" vertical="center" wrapText="1"/>
    </xf>
    <xf numFmtId="0" fontId="40" fillId="0" borderId="38" xfId="0" applyFont="1" applyFill="1" applyBorder="1" applyAlignment="1">
      <alignment horizontal="center" vertical="center" wrapText="1"/>
    </xf>
    <xf numFmtId="1" fontId="40" fillId="0" borderId="33" xfId="0" applyNumberFormat="1" applyFont="1" applyFill="1" applyBorder="1" applyAlignment="1">
      <alignment horizontal="center" vertical="center" wrapText="1"/>
    </xf>
    <xf numFmtId="1" fontId="40" fillId="0" borderId="25" xfId="0" applyNumberFormat="1" applyFont="1" applyFill="1" applyBorder="1" applyAlignment="1">
      <alignment horizontal="center" vertical="center" wrapText="1"/>
    </xf>
    <xf numFmtId="0" fontId="40" fillId="0" borderId="22" xfId="0" applyFont="1" applyFill="1" applyBorder="1" applyAlignment="1">
      <alignment horizontal="center" vertical="center" wrapText="1"/>
    </xf>
    <xf numFmtId="1" fontId="40" fillId="0" borderId="31" xfId="0" applyNumberFormat="1" applyFont="1" applyFill="1" applyBorder="1" applyAlignment="1">
      <alignment horizontal="center" vertical="center" wrapText="1"/>
    </xf>
    <xf numFmtId="1" fontId="40" fillId="0" borderId="9" xfId="0" applyNumberFormat="1" applyFont="1" applyFill="1" applyBorder="1" applyAlignment="1">
      <alignment horizontal="center" vertical="center" wrapText="1"/>
    </xf>
    <xf numFmtId="0" fontId="40" fillId="0" borderId="42" xfId="0" applyFont="1" applyFill="1" applyBorder="1" applyAlignment="1">
      <alignment horizontal="center" vertical="center" wrapText="1"/>
    </xf>
    <xf numFmtId="1" fontId="40" fillId="0" borderId="43" xfId="0" applyNumberFormat="1" applyFont="1" applyFill="1" applyBorder="1" applyAlignment="1">
      <alignment horizontal="center" vertical="center" wrapText="1"/>
    </xf>
    <xf numFmtId="1" fontId="40" fillId="0" borderId="37" xfId="0" applyNumberFormat="1" applyFont="1" applyFill="1" applyBorder="1" applyAlignment="1">
      <alignment horizontal="center" vertical="center" wrapText="1"/>
    </xf>
    <xf numFmtId="0" fontId="40" fillId="0" borderId="41" xfId="0" applyFont="1" applyFill="1" applyBorder="1" applyAlignment="1">
      <alignment horizontal="center" vertical="center" wrapText="1"/>
    </xf>
    <xf numFmtId="1" fontId="40" fillId="0" borderId="32" xfId="0" applyNumberFormat="1" applyFont="1" applyFill="1" applyBorder="1" applyAlignment="1">
      <alignment horizontal="center" vertical="center" wrapText="1"/>
    </xf>
    <xf numFmtId="1" fontId="40" fillId="0" borderId="12" xfId="0" applyNumberFormat="1" applyFont="1" applyFill="1" applyBorder="1" applyAlignment="1">
      <alignment horizontal="center" vertical="center" wrapText="1"/>
    </xf>
    <xf numFmtId="0" fontId="40" fillId="0" borderId="39" xfId="0" applyFont="1" applyFill="1" applyBorder="1" applyAlignment="1">
      <alignment horizontal="left" vertical="center" wrapText="1"/>
    </xf>
    <xf numFmtId="0" fontId="40" fillId="0" borderId="40" xfId="0" applyFont="1" applyFill="1" applyBorder="1" applyAlignment="1">
      <alignment horizontal="center" vertical="center" wrapText="1"/>
    </xf>
    <xf numFmtId="0" fontId="40" fillId="0" borderId="7" xfId="0" applyFont="1" applyFill="1" applyBorder="1" applyAlignment="1" applyProtection="1">
      <alignment horizontal="left" vertical="center" wrapText="1"/>
      <protection locked="0"/>
    </xf>
    <xf numFmtId="0" fontId="40" fillId="0" borderId="38" xfId="0" applyFont="1" applyFill="1" applyBorder="1" applyAlignment="1">
      <alignment horizontal="left" vertical="center" wrapText="1"/>
    </xf>
    <xf numFmtId="0" fontId="40" fillId="0" borderId="33" xfId="0" applyFont="1" applyFill="1" applyBorder="1" applyAlignment="1">
      <alignment horizontal="center" vertical="center" wrapText="1"/>
    </xf>
    <xf numFmtId="0" fontId="40" fillId="0" borderId="25" xfId="0" applyFont="1" applyFill="1" applyBorder="1" applyAlignment="1" applyProtection="1">
      <alignment horizontal="left" vertical="center" wrapText="1"/>
      <protection locked="0"/>
    </xf>
    <xf numFmtId="0" fontId="40" fillId="0" borderId="22" xfId="0" applyFont="1" applyFill="1" applyBorder="1" applyAlignment="1">
      <alignment horizontal="left" vertical="center" wrapText="1"/>
    </xf>
    <xf numFmtId="0" fontId="40" fillId="0" borderId="31" xfId="0" applyFont="1" applyFill="1" applyBorder="1" applyAlignment="1">
      <alignment horizontal="center" vertical="center" wrapText="1"/>
    </xf>
    <xf numFmtId="0" fontId="40" fillId="0" borderId="9" xfId="0" applyFont="1" applyFill="1" applyBorder="1" applyAlignment="1" applyProtection="1">
      <alignment horizontal="left" vertical="center" wrapText="1"/>
      <protection locked="0"/>
    </xf>
    <xf numFmtId="0" fontId="40" fillId="0" borderId="42" xfId="0" applyFont="1" applyFill="1" applyBorder="1" applyAlignment="1">
      <alignment horizontal="left" vertical="center" wrapText="1"/>
    </xf>
    <xf numFmtId="0" fontId="40" fillId="0" borderId="43" xfId="0" applyFont="1" applyFill="1" applyBorder="1" applyAlignment="1">
      <alignment horizontal="center" vertical="center" wrapText="1"/>
    </xf>
    <xf numFmtId="0" fontId="40" fillId="0" borderId="37" xfId="0" applyFont="1" applyFill="1" applyBorder="1" applyAlignment="1" applyProtection="1">
      <alignment horizontal="left" vertical="center" wrapText="1"/>
      <protection locked="0"/>
    </xf>
    <xf numFmtId="0" fontId="40" fillId="0" borderId="41" xfId="0" applyFont="1" applyFill="1" applyBorder="1" applyAlignment="1">
      <alignment horizontal="left" vertical="center" wrapText="1"/>
    </xf>
    <xf numFmtId="0" fontId="40" fillId="0" borderId="32" xfId="0" applyFont="1" applyFill="1" applyBorder="1" applyAlignment="1">
      <alignment horizontal="center" vertical="center" wrapText="1"/>
    </xf>
    <xf numFmtId="0" fontId="40" fillId="0" borderId="12" xfId="0" applyFont="1" applyFill="1" applyBorder="1" applyAlignment="1" applyProtection="1">
      <alignment horizontal="left" vertical="center" wrapText="1"/>
      <protection locked="0"/>
    </xf>
    <xf numFmtId="0" fontId="41" fillId="0" borderId="6" xfId="0" applyFont="1" applyBorder="1" applyAlignment="1">
      <alignment horizontal="left" vertical="center" wrapText="1"/>
    </xf>
    <xf numFmtId="0" fontId="41" fillId="0" borderId="20" xfId="0" applyFont="1" applyBorder="1" applyAlignment="1">
      <alignment horizontal="left" vertical="center" wrapText="1"/>
    </xf>
    <xf numFmtId="0" fontId="41" fillId="0" borderId="7" xfId="0" applyFont="1" applyBorder="1" applyAlignment="1">
      <alignment horizontal="left" vertical="center" wrapText="1"/>
    </xf>
    <xf numFmtId="0" fontId="41" fillId="0" borderId="0" xfId="0" applyFont="1" applyAlignment="1">
      <alignment horizontal="left" vertical="center"/>
    </xf>
    <xf numFmtId="0" fontId="41" fillId="0" borderId="0" xfId="0" applyFont="1" applyFill="1" applyAlignment="1" applyProtection="1">
      <alignment horizontal="left" vertical="center" wrapText="1"/>
      <protection locked="0"/>
    </xf>
    <xf numFmtId="0" fontId="41" fillId="0" borderId="0" xfId="0" applyFont="1" applyAlignment="1" applyProtection="1">
      <alignment horizontal="left" vertical="center" wrapText="1"/>
      <protection locked="0"/>
    </xf>
    <xf numFmtId="0" fontId="41" fillId="0" borderId="0" xfId="0" applyFont="1"/>
    <xf numFmtId="0" fontId="41" fillId="0" borderId="8" xfId="0" applyFont="1" applyBorder="1" applyAlignment="1">
      <alignment horizontal="left" vertical="center" wrapText="1"/>
    </xf>
    <xf numFmtId="0" fontId="41" fillId="0" borderId="1" xfId="0" applyFont="1" applyBorder="1" applyAlignment="1">
      <alignment horizontal="left" vertical="center" wrapText="1"/>
    </xf>
    <xf numFmtId="0" fontId="41" fillId="0" borderId="9" xfId="0" applyFont="1" applyBorder="1" applyAlignment="1">
      <alignment horizontal="left" vertical="center" wrapText="1"/>
    </xf>
    <xf numFmtId="0" fontId="41" fillId="0" borderId="0" xfId="0" applyFont="1" applyAlignment="1">
      <alignment horizontal="left" vertical="center" wrapText="1"/>
    </xf>
    <xf numFmtId="0" fontId="41" fillId="0" borderId="0" xfId="0" applyFont="1" applyFill="1" applyProtection="1">
      <protection locked="0"/>
    </xf>
    <xf numFmtId="0" fontId="41" fillId="0" borderId="0" xfId="0" applyFont="1" applyProtection="1">
      <protection locked="0"/>
    </xf>
    <xf numFmtId="0" fontId="41" fillId="0" borderId="0" xfId="0" applyFont="1" applyFill="1" applyAlignment="1" applyProtection="1">
      <alignment wrapText="1"/>
      <protection locked="0"/>
    </xf>
    <xf numFmtId="0" fontId="41" fillId="0" borderId="10" xfId="0" applyFont="1" applyBorder="1" applyAlignment="1">
      <alignment horizontal="left" vertical="center" wrapText="1"/>
    </xf>
    <xf numFmtId="0" fontId="41" fillId="0" borderId="11" xfId="0" applyFont="1" applyBorder="1" applyAlignment="1">
      <alignment horizontal="left" vertical="center" wrapText="1"/>
    </xf>
    <xf numFmtId="0" fontId="41" fillId="0" borderId="12" xfId="0" applyFont="1" applyBorder="1" applyAlignment="1">
      <alignment horizontal="left" vertical="center" wrapText="1"/>
    </xf>
    <xf numFmtId="0" fontId="41" fillId="0" borderId="0" xfId="0" applyFont="1" applyAlignment="1">
      <alignment wrapText="1"/>
    </xf>
    <xf numFmtId="0" fontId="41" fillId="0" borderId="0" xfId="0" applyFont="1" applyAlignment="1">
      <alignment horizontal="center"/>
    </xf>
    <xf numFmtId="0" fontId="41" fillId="0" borderId="0" xfId="0" applyFont="1" applyFill="1" applyAlignment="1" applyProtection="1">
      <alignment horizontal="left" vertical="center"/>
      <protection locked="0"/>
    </xf>
    <xf numFmtId="0" fontId="41" fillId="0" borderId="0" xfId="0" applyFont="1" applyFill="1" applyAlignment="1" applyProtection="1">
      <protection locked="0"/>
    </xf>
    <xf numFmtId="0" fontId="41" fillId="0" borderId="0" xfId="0" applyFont="1" applyAlignment="1" applyProtection="1">
      <alignment vertical="center"/>
      <protection locked="0"/>
    </xf>
    <xf numFmtId="0" fontId="41" fillId="0" borderId="23" xfId="0" applyFont="1" applyBorder="1" applyAlignment="1">
      <alignment horizontal="left" vertical="center" wrapText="1"/>
    </xf>
    <xf numFmtId="0" fontId="41" fillId="0" borderId="24" xfId="0" applyFont="1" applyBorder="1" applyAlignment="1">
      <alignment horizontal="left" vertical="center" wrapText="1"/>
    </xf>
    <xf numFmtId="0" fontId="41" fillId="0" borderId="25" xfId="0" applyFont="1" applyBorder="1" applyAlignment="1">
      <alignment horizontal="left" vertical="center" wrapText="1"/>
    </xf>
    <xf numFmtId="0" fontId="41" fillId="0" borderId="6" xfId="0" applyFont="1" applyBorder="1" applyAlignment="1">
      <alignment horizontal="center" vertical="center" wrapText="1"/>
    </xf>
    <xf numFmtId="0" fontId="41" fillId="0" borderId="8" xfId="0" applyFont="1" applyBorder="1" applyAlignment="1">
      <alignment horizontal="center" vertical="center" wrapText="1"/>
    </xf>
    <xf numFmtId="0" fontId="41" fillId="0" borderId="0" xfId="0" applyFont="1" applyAlignment="1" applyProtection="1">
      <alignment horizontal="left" vertical="center"/>
      <protection locked="0"/>
    </xf>
    <xf numFmtId="0" fontId="41" fillId="0" borderId="0" xfId="0" applyFont="1" applyAlignment="1">
      <alignment vertical="center"/>
    </xf>
    <xf numFmtId="0" fontId="41" fillId="0" borderId="0" xfId="0" applyFont="1" applyAlignment="1" applyProtection="1">
      <alignment vertical="center" wrapText="1"/>
      <protection locked="0"/>
    </xf>
    <xf numFmtId="165" fontId="0" fillId="0" borderId="29" xfId="0" applyNumberFormat="1" applyFill="1" applyBorder="1" applyAlignment="1" applyProtection="1">
      <alignment horizontal="left"/>
      <protection locked="0"/>
    </xf>
    <xf numFmtId="0" fontId="0" fillId="0" borderId="3" xfId="0" applyBorder="1"/>
    <xf numFmtId="0" fontId="0" fillId="0" borderId="0" xfId="0" applyAlignment="1" applyProtection="1">
      <alignment horizontal="left" vertical="center"/>
      <protection locked="0"/>
    </xf>
    <xf numFmtId="0" fontId="1" fillId="5" borderId="14" xfId="0" applyFont="1" applyFill="1" applyBorder="1" applyAlignment="1">
      <alignment horizontal="center" vertical="center" wrapText="1"/>
    </xf>
    <xf numFmtId="0" fontId="1" fillId="5" borderId="16" xfId="0" applyFont="1" applyFill="1" applyBorder="1" applyAlignment="1">
      <alignment horizontal="center" vertical="center" wrapText="1"/>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16" xfId="0" applyFont="1" applyFill="1" applyBorder="1" applyAlignment="1">
      <alignment horizontal="center" vertical="center"/>
    </xf>
    <xf numFmtId="0" fontId="33" fillId="0" borderId="0" xfId="86" applyFont="1" applyAlignment="1">
      <alignment horizontal="center"/>
    </xf>
    <xf numFmtId="14" fontId="14" fillId="0" borderId="0" xfId="86" applyNumberFormat="1" applyFont="1" applyAlignment="1">
      <alignment horizontal="center"/>
    </xf>
    <xf numFmtId="0" fontId="14" fillId="0" borderId="0" xfId="86" applyAlignment="1">
      <alignment horizontal="center"/>
    </xf>
    <xf numFmtId="0" fontId="14" fillId="0" borderId="0" xfId="86" applyFont="1" applyAlignment="1">
      <alignment horizontal="center"/>
    </xf>
    <xf numFmtId="0" fontId="1" fillId="5" borderId="14" xfId="0" applyFont="1" applyFill="1" applyBorder="1" applyAlignment="1">
      <alignment horizontal="center" vertical="center"/>
    </xf>
    <xf numFmtId="0" fontId="1" fillId="5" borderId="16" xfId="0" applyFont="1" applyFill="1" applyBorder="1" applyAlignment="1">
      <alignment horizontal="center" vertical="center"/>
    </xf>
    <xf numFmtId="0" fontId="1" fillId="5" borderId="15" xfId="0" applyFont="1" applyFill="1" applyBorder="1" applyAlignment="1">
      <alignment horizontal="center" vertical="center"/>
    </xf>
    <xf numFmtId="0" fontId="2" fillId="0" borderId="14"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0" xfId="0" applyFont="1" applyAlignment="1"/>
    <xf numFmtId="0" fontId="0" fillId="0" borderId="0" xfId="0" applyAlignment="1"/>
    <xf numFmtId="0" fontId="2" fillId="0" borderId="0" xfId="0" applyFont="1" applyBorder="1" applyAlignment="1">
      <alignment horizontal="center" vertical="center" wrapText="1"/>
    </xf>
    <xf numFmtId="0" fontId="2" fillId="0" borderId="0" xfId="0" applyFont="1" applyBorder="1" applyAlignment="1">
      <alignment horizontal="center" vertical="center"/>
    </xf>
    <xf numFmtId="0" fontId="28" fillId="0" borderId="14" xfId="0" applyFont="1" applyBorder="1" applyAlignment="1">
      <alignment horizontal="center" vertical="center" wrapText="1"/>
    </xf>
    <xf numFmtId="0" fontId="28" fillId="0" borderId="15" xfId="0" applyFont="1" applyBorder="1" applyAlignment="1">
      <alignment horizontal="center" vertical="center"/>
    </xf>
    <xf numFmtId="0" fontId="28" fillId="0" borderId="16" xfId="0" applyFont="1" applyBorder="1" applyAlignment="1">
      <alignment horizontal="center" vertical="center"/>
    </xf>
    <xf numFmtId="0" fontId="23" fillId="0" borderId="0" xfId="85" applyFont="1" applyBorder="1" applyAlignment="1">
      <alignment horizontal="center"/>
    </xf>
  </cellXfs>
  <cellStyles count="87">
    <cellStyle name="Besuchter Hyperlink" xfId="2" builtinId="9" hidden="1"/>
    <cellStyle name="Besuchter Hyperlink" xfId="4" builtinId="9" hidden="1"/>
    <cellStyle name="Besuchter Hyperlink" xfId="6" builtinId="9" hidden="1"/>
    <cellStyle name="Besuchter Hyperlink" xfId="8" builtinId="9" hidden="1"/>
    <cellStyle name="Besuchter Hyperlink" xfId="10" builtinId="9" hidden="1"/>
    <cellStyle name="Besuchter Hyperlink" xfId="12" builtinId="9" hidden="1"/>
    <cellStyle name="Besuchter Hyperlink" xfId="14" builtinId="9" hidden="1"/>
    <cellStyle name="Besuchter Hyperlink" xfId="16" builtinId="9" hidden="1"/>
    <cellStyle name="Besuchter Hyperlink" xfId="18" builtinId="9" hidden="1"/>
    <cellStyle name="Besuchter Hyperlink" xfId="20" builtinId="9" hidden="1"/>
    <cellStyle name="Besuchter Hyperlink" xfId="22" builtinId="9" hidden="1"/>
    <cellStyle name="Besuchter Hyperlink" xfId="24" builtinId="9" hidden="1"/>
    <cellStyle name="Besuchter Hyperlink" xfId="26" builtinId="9" hidden="1"/>
    <cellStyle name="Besuchter Hyperlink" xfId="28" builtinId="9" hidden="1"/>
    <cellStyle name="Besuchter Hyperlink" xfId="30" builtinId="9" hidden="1"/>
    <cellStyle name="Besuchter Hyperlink" xfId="32" builtinId="9" hidden="1"/>
    <cellStyle name="Besuchter Hyperlink" xfId="34" builtinId="9" hidden="1"/>
    <cellStyle name="Besuchter Hyperlink" xfId="36" builtinId="9" hidden="1"/>
    <cellStyle name="Besuchter Hyperlink" xfId="38" builtinId="9" hidden="1"/>
    <cellStyle name="Besuchter Hyperlink" xfId="40" builtinId="9" hidden="1"/>
    <cellStyle name="Besuchter Hyperlink" xfId="42" builtinId="9" hidden="1"/>
    <cellStyle name="Besuchter Hyperlink" xfId="44" builtinId="9" hidden="1"/>
    <cellStyle name="Besuchter Hyperlink" xfId="46" builtinId="9" hidden="1"/>
    <cellStyle name="Besuchter Hyperlink" xfId="48" builtinId="9" hidden="1"/>
    <cellStyle name="Besuchter Hyperlink" xfId="50" builtinId="9" hidden="1"/>
    <cellStyle name="Besuchter Hyperlink" xfId="52" builtinId="9" hidden="1"/>
    <cellStyle name="Besuchter Hyperlink" xfId="54" builtinId="9" hidden="1"/>
    <cellStyle name="Besuchter Hyperlink" xfId="56" builtinId="9" hidden="1"/>
    <cellStyle name="Besuchter Hyperlink" xfId="58" builtinId="9" hidden="1"/>
    <cellStyle name="Besuchter Hyperlink" xfId="60" builtinId="9" hidden="1"/>
    <cellStyle name="Besuchter Hyperlink" xfId="62" builtinId="9" hidden="1"/>
    <cellStyle name="Besuchter Hyperlink" xfId="64" builtinId="9" hidden="1"/>
    <cellStyle name="Besuchter Hyperlink" xfId="66" builtinId="9" hidden="1"/>
    <cellStyle name="Besuchter Hyperlink" xfId="68" builtinId="9" hidden="1"/>
    <cellStyle name="Besuchter Hyperlink" xfId="70" builtinId="9" hidden="1"/>
    <cellStyle name="Besuchter Hyperlink" xfId="72" builtinId="9" hidden="1"/>
    <cellStyle name="Besuchter Hyperlink" xfId="74" builtinId="9" hidden="1"/>
    <cellStyle name="Besuchter Hyperlink" xfId="76" builtinId="9" hidden="1"/>
    <cellStyle name="Besuchter Hyperlink" xfId="78" builtinId="9" hidden="1"/>
    <cellStyle name="Besuchter Hyperlink" xfId="80" builtinId="9" hidden="1"/>
    <cellStyle name="Besuchter Hyperlink" xfId="82" builtinId="9" hidden="1"/>
    <cellStyle name="Link" xfId="1" builtinId="8" hidden="1"/>
    <cellStyle name="Link" xfId="3" builtinId="8" hidden="1"/>
    <cellStyle name="Link" xfId="5" builtinId="8" hidden="1"/>
    <cellStyle name="Link" xfId="7" builtinId="8" hidden="1"/>
    <cellStyle name="Link" xfId="9" builtinId="8" hidden="1"/>
    <cellStyle name="Link" xfId="11" builtinId="8" hidden="1"/>
    <cellStyle name="Link" xfId="13" builtinId="8" hidden="1"/>
    <cellStyle name="Link" xfId="15" builtinId="8" hidden="1"/>
    <cellStyle name="Link" xfId="17" builtinId="8" hidden="1"/>
    <cellStyle name="Link" xfId="19" builtinId="8" hidden="1"/>
    <cellStyle name="Link" xfId="21" builtinId="8" hidden="1"/>
    <cellStyle name="Link" xfId="23" builtinId="8" hidden="1"/>
    <cellStyle name="Link" xfId="25" builtinId="8" hidden="1"/>
    <cellStyle name="Link" xfId="27" builtinId="8" hidden="1"/>
    <cellStyle name="Link" xfId="29" builtinId="8" hidden="1"/>
    <cellStyle name="Link" xfId="31" builtinId="8" hidden="1"/>
    <cellStyle name="Link" xfId="33" builtinId="8" hidden="1"/>
    <cellStyle name="Link" xfId="35" builtinId="8" hidden="1"/>
    <cellStyle name="Link" xfId="37" builtinId="8" hidden="1"/>
    <cellStyle name="Link" xfId="39" builtinId="8" hidden="1"/>
    <cellStyle name="Link" xfId="41" builtinId="8" hidden="1"/>
    <cellStyle name="Link" xfId="43" builtinId="8" hidden="1"/>
    <cellStyle name="Link" xfId="45" builtinId="8" hidden="1"/>
    <cellStyle name="Link" xfId="47" builtinId="8" hidden="1"/>
    <cellStyle name="Link" xfId="49" builtinId="8" hidden="1"/>
    <cellStyle name="Link" xfId="51" builtinId="8" hidden="1"/>
    <cellStyle name="Link" xfId="53" builtinId="8" hidden="1"/>
    <cellStyle name="Link" xfId="55" builtinId="8" hidden="1"/>
    <cellStyle name="Link" xfId="57" builtinId="8" hidden="1"/>
    <cellStyle name="Link" xfId="59" builtinId="8" hidden="1"/>
    <cellStyle name="Link" xfId="61" builtinId="8" hidden="1"/>
    <cellStyle name="Link" xfId="63" builtinId="8" hidden="1"/>
    <cellStyle name="Link" xfId="65" builtinId="8" hidden="1"/>
    <cellStyle name="Link" xfId="67" builtinId="8" hidden="1"/>
    <cellStyle name="Link" xfId="69" builtinId="8" hidden="1"/>
    <cellStyle name="Link" xfId="71" builtinId="8" hidden="1"/>
    <cellStyle name="Link" xfId="73" builtinId="8" hidden="1"/>
    <cellStyle name="Link" xfId="75" builtinId="8" hidden="1"/>
    <cellStyle name="Link" xfId="77" builtinId="8" hidden="1"/>
    <cellStyle name="Link" xfId="79" builtinId="8" hidden="1"/>
    <cellStyle name="Link" xfId="81" builtinId="8" hidden="1"/>
    <cellStyle name="Link" xfId="84" builtinId="8"/>
    <cellStyle name="Normal_DB_Mehari_2008-1" xfId="85"/>
    <cellStyle name="Standard" xfId="0" builtinId="0"/>
    <cellStyle name="Standard 10" xfId="83"/>
    <cellStyle name="Standard 23" xfId="86"/>
  </cellStyles>
  <dxfs count="78">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0"/>
        </patternFill>
      </fill>
    </dxf>
    <dxf>
      <fill>
        <patternFill>
          <bgColor theme="4" tint="0.59996337778862885"/>
        </patternFill>
      </fill>
    </dxf>
    <dxf>
      <fill>
        <patternFill>
          <bgColor theme="0"/>
        </patternFill>
      </fill>
    </dxf>
    <dxf>
      <fill>
        <patternFill>
          <bgColor theme="4" tint="0.59996337778862885"/>
        </patternFill>
      </fill>
    </dxf>
    <dxf>
      <fill>
        <patternFill>
          <bgColor theme="0"/>
        </patternFill>
      </fill>
    </dxf>
    <dxf>
      <fill>
        <patternFill>
          <bgColor theme="4" tint="0.59996337778862885"/>
        </patternFill>
      </fill>
    </dxf>
    <dxf>
      <fill>
        <patternFill>
          <bgColor theme="0"/>
        </patternFill>
      </fill>
    </dxf>
    <dxf>
      <fill>
        <patternFill>
          <bgColor theme="4" tint="0.59996337778862885"/>
        </patternFill>
      </fill>
    </dxf>
    <dxf>
      <fill>
        <patternFill>
          <bgColor theme="0"/>
        </patternFill>
      </fill>
    </dxf>
    <dxf>
      <fill>
        <patternFill>
          <bgColor theme="4" tint="0.59996337778862885"/>
        </patternFill>
      </fill>
    </dxf>
    <dxf>
      <fill>
        <patternFill>
          <bgColor theme="0"/>
        </patternFill>
      </fill>
    </dxf>
    <dxf>
      <fill>
        <patternFill>
          <bgColor theme="4" tint="0.59996337778862885"/>
        </patternFill>
      </fill>
    </dxf>
    <dxf>
      <fill>
        <patternFill>
          <bgColor theme="0"/>
        </patternFill>
      </fill>
    </dxf>
    <dxf>
      <fill>
        <patternFill>
          <bgColor theme="4" tint="0.59996337778862885"/>
        </patternFill>
      </fill>
    </dxf>
    <dxf>
      <fill>
        <patternFill>
          <bgColor theme="0" tint="-4.9989318521683403E-2"/>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
      <fill>
        <patternFill>
          <fgColor indexed="64"/>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'FMEA-Risk-Matrix'!$B$4</c:f>
          <c:strCache>
            <c:ptCount val="1"/>
            <c:pt idx="0">
              <c:v>FMEA Risiko Matrix</c:v>
            </c:pt>
          </c:strCache>
        </c:strRef>
      </c:tx>
      <c:overlay val="0"/>
      <c:txPr>
        <a:bodyPr/>
        <a:lstStyle/>
        <a:p>
          <a:pPr>
            <a:defRPr/>
          </a:pPr>
          <a:endParaRPr lang="de-DE"/>
        </a:p>
      </c:txPr>
    </c:title>
    <c:autoTitleDeleted val="0"/>
    <c:plotArea>
      <c:layout/>
      <c:barChart>
        <c:barDir val="bar"/>
        <c:grouping val="stacked"/>
        <c:varyColors val="0"/>
        <c:ser>
          <c:idx val="1"/>
          <c:order val="1"/>
          <c:tx>
            <c:v>Risk_Acceptance</c:v>
          </c:tx>
          <c:spPr>
            <a:solidFill>
              <a:srgbClr val="008000">
                <a:alpha val="66000"/>
              </a:srgbClr>
            </a:solidFill>
            <a:ln w="47625">
              <a:noFill/>
            </a:ln>
          </c:spPr>
          <c:invertIfNegative val="0"/>
          <c:cat>
            <c:multiLvlStrRef>
              <c:f>FMEA!#REF!</c:f>
            </c:multiLvlStrRef>
          </c:cat>
          <c:val>
            <c:numRef>
              <c:f>'FMEA-Risk-Matrix'!$O$18:$O$27</c:f>
              <c:numCache>
                <c:formatCode>General</c:formatCode>
                <c:ptCount val="10"/>
                <c:pt idx="0">
                  <c:v>10.5</c:v>
                </c:pt>
                <c:pt idx="1">
                  <c:v>9.5</c:v>
                </c:pt>
                <c:pt idx="2">
                  <c:v>8.5</c:v>
                </c:pt>
                <c:pt idx="3">
                  <c:v>7.5</c:v>
                </c:pt>
                <c:pt idx="4">
                  <c:v>6.5</c:v>
                </c:pt>
                <c:pt idx="5">
                  <c:v>5.5</c:v>
                </c:pt>
                <c:pt idx="6">
                  <c:v>4.5</c:v>
                </c:pt>
                <c:pt idx="7">
                  <c:v>3.5</c:v>
                </c:pt>
                <c:pt idx="8">
                  <c:v>2.5</c:v>
                </c:pt>
                <c:pt idx="9">
                  <c:v>1.5</c:v>
                </c:pt>
              </c:numCache>
            </c:numRef>
          </c:val>
        </c:ser>
        <c:dLbls>
          <c:showLegendKey val="0"/>
          <c:showVal val="0"/>
          <c:showCatName val="0"/>
          <c:showSerName val="0"/>
          <c:showPercent val="0"/>
          <c:showBubbleSize val="0"/>
        </c:dLbls>
        <c:gapWidth val="0"/>
        <c:overlap val="100"/>
        <c:axId val="469512984"/>
        <c:axId val="469516512"/>
      </c:barChart>
      <c:scatterChart>
        <c:scatterStyle val="lineMarker"/>
        <c:varyColors val="0"/>
        <c:ser>
          <c:idx val="0"/>
          <c:order val="0"/>
          <c:tx>
            <c:v>Occurence - Severity</c:v>
          </c:tx>
          <c:spPr>
            <a:ln w="47625">
              <a:noFill/>
            </a:ln>
          </c:spPr>
          <c:dLbls>
            <c:dLbl>
              <c:idx val="0"/>
              <c:tx>
                <c:rich>
                  <a:bodyPr/>
                  <a:lstStyle/>
                  <a:p>
                    <a:fld id="{DA26B893-80D2-4452-BB96-9CE408E52172}" type="CELLRANGE">
                      <a:rPr lang="en-US"/>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2"/>
              <c:tx>
                <c:rich>
                  <a:bodyPr/>
                  <a:lstStyle/>
                  <a:p>
                    <a:fld id="{6768F5AF-D374-4677-BAC8-FAB5F5154FEA}"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3"/>
              <c:tx>
                <c:rich>
                  <a:bodyPr/>
                  <a:lstStyle/>
                  <a:p>
                    <a:fld id="{21A5C025-2483-4489-A844-9A46AFD7BBA1}"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4"/>
              <c:delete val="1"/>
              <c:extLst>
                <c:ext xmlns:c15="http://schemas.microsoft.com/office/drawing/2012/chart" uri="{CE6537A1-D6FC-4f65-9D91-7224C49458BB}"/>
              </c:extLst>
            </c:dLbl>
            <c:dLbl>
              <c:idx val="5"/>
              <c:tx>
                <c:rich>
                  <a:bodyPr/>
                  <a:lstStyle/>
                  <a:p>
                    <a:fld id="{5302A8C3-93D2-4DEA-AC50-126953F6BFA5}"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6"/>
              <c:tx>
                <c:rich>
                  <a:bodyPr/>
                  <a:lstStyle/>
                  <a:p>
                    <a:fld id="{D68F73E2-9C92-4053-88F9-2DF130E8B63D}"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7"/>
              <c:tx>
                <c:rich>
                  <a:bodyPr/>
                  <a:lstStyle/>
                  <a:p>
                    <a:fld id="{96CEC0CB-5852-4CD5-900C-F7D94CA6DC4E}"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8"/>
              <c:tx>
                <c:rich>
                  <a:bodyPr/>
                  <a:lstStyle/>
                  <a:p>
                    <a:fld id="{AC82222B-216E-474F-A6BC-246C84A7BA8C}"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9"/>
              <c:tx>
                <c:rich>
                  <a:bodyPr/>
                  <a:lstStyle/>
                  <a:p>
                    <a:fld id="{B72B8F1C-4959-4B20-8B37-82994BA2A090}"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10"/>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1"/>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2"/>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3"/>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4"/>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5"/>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6"/>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7"/>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8"/>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19"/>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20"/>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21"/>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dLbl>
              <c:idx val="22"/>
              <c:tx>
                <c:rich>
                  <a:bodyPr/>
                  <a:lstStyle/>
                  <a:p>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extLst>
            </c:dLbl>
            <c:spPr>
              <a:noFill/>
              <a:ln>
                <a:noFill/>
              </a:ln>
              <a:effectLst/>
            </c:spPr>
            <c:txPr>
              <a:bodyPr rot="0" vert="horz" wrap="square" lIns="0" tIns="0" rIns="0" bIns="0" anchor="ctr" anchorCtr="1">
                <a:spAutoFit/>
              </a:bodyPr>
              <a:lstStyle/>
              <a:p>
                <a:pPr>
                  <a:defRPr sz="1000" b="0"/>
                </a:pPr>
                <a:endParaRPr lang="de-DE"/>
              </a:p>
            </c:txPr>
            <c:dLblPos val="r"/>
            <c:showLegendKey val="0"/>
            <c:showVal val="0"/>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FMEA!$X$18:$X$37</c:f>
              <c:numCache>
                <c:formatCode>0.0</c:formatCode>
                <c:ptCount val="20"/>
                <c:pt idx="0">
                  <c:v>5</c:v>
                </c:pt>
                <c:pt idx="1">
                  <c:v>5</c:v>
                </c:pt>
                <c:pt idx="2">
                  <c:v>2</c:v>
                </c:pt>
                <c:pt idx="3">
                  <c:v>6</c:v>
                </c:pt>
                <c:pt idx="4">
                  <c:v>7</c:v>
                </c:pt>
                <c:pt idx="5">
                  <c:v>9</c:v>
                </c:pt>
                <c:pt idx="6">
                  <c:v>4</c:v>
                </c:pt>
                <c:pt idx="7">
                  <c:v>10</c:v>
                </c:pt>
                <c:pt idx="8">
                  <c:v>8</c:v>
                </c:pt>
                <c:pt idx="9">
                  <c:v>5</c:v>
                </c:pt>
                <c:pt idx="10">
                  <c:v>2</c:v>
                </c:pt>
                <c:pt idx="11">
                  <c:v>10</c:v>
                </c:pt>
                <c:pt idx="12">
                  <c:v>7</c:v>
                </c:pt>
                <c:pt idx="13">
                  <c:v>10</c:v>
                </c:pt>
                <c:pt idx="14">
                  <c:v>0</c:v>
                </c:pt>
                <c:pt idx="15">
                  <c:v>0</c:v>
                </c:pt>
                <c:pt idx="16">
                  <c:v>0</c:v>
                </c:pt>
                <c:pt idx="17">
                  <c:v>0</c:v>
                </c:pt>
                <c:pt idx="18">
                  <c:v>0</c:v>
                </c:pt>
                <c:pt idx="19">
                  <c:v>0</c:v>
                </c:pt>
              </c:numCache>
            </c:numRef>
          </c:xVal>
          <c:yVal>
            <c:numRef>
              <c:f>FMEA!$W$18:$W$37</c:f>
              <c:numCache>
                <c:formatCode>0.0</c:formatCode>
                <c:ptCount val="20"/>
                <c:pt idx="0">
                  <c:v>3.2</c:v>
                </c:pt>
                <c:pt idx="1">
                  <c:v>2.8</c:v>
                </c:pt>
                <c:pt idx="2">
                  <c:v>8</c:v>
                </c:pt>
                <c:pt idx="3">
                  <c:v>4</c:v>
                </c:pt>
                <c:pt idx="4">
                  <c:v>5</c:v>
                </c:pt>
                <c:pt idx="5">
                  <c:v>2</c:v>
                </c:pt>
                <c:pt idx="6">
                  <c:v>2</c:v>
                </c:pt>
                <c:pt idx="7">
                  <c:v>2.2000000000000002</c:v>
                </c:pt>
                <c:pt idx="8">
                  <c:v>2</c:v>
                </c:pt>
                <c:pt idx="9">
                  <c:v>3</c:v>
                </c:pt>
                <c:pt idx="10">
                  <c:v>5</c:v>
                </c:pt>
                <c:pt idx="11">
                  <c:v>2</c:v>
                </c:pt>
                <c:pt idx="12">
                  <c:v>2</c:v>
                </c:pt>
                <c:pt idx="13">
                  <c:v>3</c:v>
                </c:pt>
                <c:pt idx="14">
                  <c:v>0</c:v>
                </c:pt>
                <c:pt idx="15">
                  <c:v>0</c:v>
                </c:pt>
                <c:pt idx="16">
                  <c:v>0</c:v>
                </c:pt>
                <c:pt idx="17">
                  <c:v>0</c:v>
                </c:pt>
                <c:pt idx="18">
                  <c:v>0</c:v>
                </c:pt>
                <c:pt idx="19">
                  <c:v>0</c:v>
                </c:pt>
              </c:numCache>
            </c:numRef>
          </c:yVal>
          <c:smooth val="0"/>
          <c:extLst>
            <c:ext xmlns:c15="http://schemas.microsoft.com/office/drawing/2012/chart" uri="{02D57815-91ED-43cb-92C2-25804820EDAC}">
              <c15:datalabelsRange>
                <c15:f>FMEA!$AA$18:$AA$37</c15:f>
                <c15:dlblRangeCache>
                  <c:ptCount val="20"/>
                  <c:pt idx="0">
                    <c:v>ID=1</c:v>
                  </c:pt>
                  <c:pt idx="1">
                    <c:v>ID=2</c:v>
                  </c:pt>
                  <c:pt idx="2">
                    <c:v>ID=3</c:v>
                  </c:pt>
                  <c:pt idx="3">
                    <c:v>ID=4</c:v>
                  </c:pt>
                  <c:pt idx="4">
                    <c:v>ID=5</c:v>
                  </c:pt>
                  <c:pt idx="5">
                    <c:v>ID=6</c:v>
                  </c:pt>
                  <c:pt idx="6">
                    <c:v>ID=7</c:v>
                  </c:pt>
                  <c:pt idx="7">
                    <c:v>ID=8</c:v>
                  </c:pt>
                  <c:pt idx="8">
                    <c:v>ID=9</c:v>
                  </c:pt>
                  <c:pt idx="9">
                    <c:v>ID=10</c:v>
                  </c:pt>
                  <c:pt idx="10">
                    <c:v>ID=11</c:v>
                  </c:pt>
                  <c:pt idx="11">
                    <c:v>ID=12</c:v>
                  </c:pt>
                  <c:pt idx="12">
                    <c:v>ID=13</c:v>
                  </c:pt>
                  <c:pt idx="13">
                    <c:v>ID=14</c:v>
                  </c:pt>
                </c15:dlblRangeCache>
              </c15:datalabelsRange>
            </c:ext>
          </c:extLst>
        </c:ser>
        <c:dLbls>
          <c:showLegendKey val="0"/>
          <c:showVal val="0"/>
          <c:showCatName val="0"/>
          <c:showSerName val="0"/>
          <c:showPercent val="0"/>
          <c:showBubbleSize val="0"/>
        </c:dLbls>
        <c:axId val="469752608"/>
        <c:axId val="469748688"/>
      </c:scatterChart>
      <c:valAx>
        <c:axId val="469752608"/>
        <c:scaling>
          <c:orientation val="minMax"/>
          <c:min val="0.5"/>
        </c:scaling>
        <c:delete val="0"/>
        <c:axPos val="b"/>
        <c:majorGridlines/>
        <c:title>
          <c:tx>
            <c:strRef>
              <c:f>'FMEA-Risk-Matrix'!$B$5</c:f>
              <c:strCache>
                <c:ptCount val="1"/>
                <c:pt idx="0">
                  <c:v>Schweregrad</c:v>
                </c:pt>
              </c:strCache>
            </c:strRef>
          </c:tx>
          <c:overlay val="0"/>
          <c:txPr>
            <a:bodyPr/>
            <a:lstStyle/>
            <a:p>
              <a:pPr>
                <a:defRPr/>
              </a:pPr>
              <a:endParaRPr lang="de-DE"/>
            </a:p>
          </c:txPr>
        </c:title>
        <c:numFmt formatCode="0.0" sourceLinked="0"/>
        <c:majorTickMark val="out"/>
        <c:minorTickMark val="none"/>
        <c:tickLblPos val="nextTo"/>
        <c:crossAx val="469748688"/>
        <c:crosses val="autoZero"/>
        <c:crossBetween val="midCat"/>
      </c:valAx>
      <c:valAx>
        <c:axId val="469748688"/>
        <c:scaling>
          <c:orientation val="minMax"/>
          <c:max val="10.5"/>
          <c:min val="0.5"/>
        </c:scaling>
        <c:delete val="0"/>
        <c:axPos val="l"/>
        <c:majorGridlines/>
        <c:title>
          <c:tx>
            <c:strRef>
              <c:f>'FMEA-Risk-Matrix'!$B$6</c:f>
              <c:strCache>
                <c:ptCount val="1"/>
                <c:pt idx="0">
                  <c:v>Auftrittshäufigkeit</c:v>
                </c:pt>
              </c:strCache>
            </c:strRef>
          </c:tx>
          <c:overlay val="0"/>
          <c:txPr>
            <a:bodyPr rot="-5400000" vert="horz"/>
            <a:lstStyle/>
            <a:p>
              <a:pPr>
                <a:defRPr/>
              </a:pPr>
              <a:endParaRPr lang="de-DE"/>
            </a:p>
          </c:txPr>
        </c:title>
        <c:numFmt formatCode="0.0" sourceLinked="0"/>
        <c:majorTickMark val="out"/>
        <c:minorTickMark val="none"/>
        <c:tickLblPos val="nextTo"/>
        <c:crossAx val="469752608"/>
        <c:crosses val="autoZero"/>
        <c:crossBetween val="midCat"/>
      </c:valAx>
      <c:valAx>
        <c:axId val="469516512"/>
        <c:scaling>
          <c:orientation val="minMax"/>
        </c:scaling>
        <c:delete val="1"/>
        <c:axPos val="t"/>
        <c:numFmt formatCode="General" sourceLinked="1"/>
        <c:majorTickMark val="out"/>
        <c:minorTickMark val="none"/>
        <c:tickLblPos val="nextTo"/>
        <c:crossAx val="469512984"/>
        <c:crosses val="max"/>
        <c:crossBetween val="between"/>
      </c:valAx>
      <c:catAx>
        <c:axId val="469512984"/>
        <c:scaling>
          <c:orientation val="minMax"/>
        </c:scaling>
        <c:delete val="1"/>
        <c:axPos val="l"/>
        <c:numFmt formatCode="General" sourceLinked="1"/>
        <c:majorTickMark val="out"/>
        <c:minorTickMark val="none"/>
        <c:tickLblPos val="nextTo"/>
        <c:crossAx val="469516512"/>
        <c:crosses val="autoZero"/>
        <c:auto val="1"/>
        <c:lblAlgn val="ctr"/>
        <c:lblOffset val="100"/>
        <c:noMultiLvlLbl val="0"/>
      </c:catAx>
      <c:spPr>
        <a:solidFill>
          <a:srgbClr val="FF0000">
            <a:alpha val="68000"/>
          </a:srgbClr>
        </a:solidFill>
      </c:spPr>
    </c:plotArea>
    <c:plotVisOnly val="0"/>
    <c:dispBlanksAs val="zero"/>
    <c:showDLblsOverMax val="0"/>
  </c:chart>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'FMEA-Risk-Matrix'!$B$4</c:f>
          <c:strCache>
            <c:ptCount val="1"/>
            <c:pt idx="0">
              <c:v>FMEA Risiko Matrix</c:v>
            </c:pt>
          </c:strCache>
        </c:strRef>
      </c:tx>
      <c:layout/>
      <c:overlay val="0"/>
      <c:txPr>
        <a:bodyPr/>
        <a:lstStyle/>
        <a:p>
          <a:pPr>
            <a:defRPr/>
          </a:pPr>
          <a:endParaRPr lang="de-DE"/>
        </a:p>
      </c:txPr>
    </c:title>
    <c:autoTitleDeleted val="0"/>
    <c:plotArea>
      <c:layout/>
      <c:barChart>
        <c:barDir val="bar"/>
        <c:grouping val="stacked"/>
        <c:varyColors val="0"/>
        <c:ser>
          <c:idx val="1"/>
          <c:order val="0"/>
          <c:tx>
            <c:v>Risk_Acceptance</c:v>
          </c:tx>
          <c:spPr>
            <a:solidFill>
              <a:srgbClr val="008000">
                <a:alpha val="66000"/>
              </a:srgbClr>
            </a:solidFill>
            <a:ln w="47625">
              <a:noFill/>
            </a:ln>
          </c:spPr>
          <c:invertIfNegative val="0"/>
          <c:cat>
            <c:multiLvlStrRef>
              <c:f>FMEA!#REF!</c:f>
            </c:multiLvlStrRef>
          </c:cat>
          <c:val>
            <c:numRef>
              <c:f>'FMEA-Risk-Matrix'!$O$18:$O$27</c:f>
              <c:numCache>
                <c:formatCode>General</c:formatCode>
                <c:ptCount val="10"/>
                <c:pt idx="0">
                  <c:v>10.5</c:v>
                </c:pt>
                <c:pt idx="1">
                  <c:v>9.5</c:v>
                </c:pt>
                <c:pt idx="2">
                  <c:v>8.5</c:v>
                </c:pt>
                <c:pt idx="3">
                  <c:v>7.5</c:v>
                </c:pt>
                <c:pt idx="4">
                  <c:v>6.5</c:v>
                </c:pt>
                <c:pt idx="5">
                  <c:v>5.5</c:v>
                </c:pt>
                <c:pt idx="6">
                  <c:v>4.5</c:v>
                </c:pt>
                <c:pt idx="7">
                  <c:v>3.5</c:v>
                </c:pt>
                <c:pt idx="8">
                  <c:v>2.5</c:v>
                </c:pt>
                <c:pt idx="9">
                  <c:v>1.5</c:v>
                </c:pt>
              </c:numCache>
            </c:numRef>
          </c:val>
        </c:ser>
        <c:dLbls>
          <c:showLegendKey val="0"/>
          <c:showVal val="0"/>
          <c:showCatName val="0"/>
          <c:showSerName val="0"/>
          <c:showPercent val="0"/>
          <c:showBubbleSize val="0"/>
        </c:dLbls>
        <c:gapWidth val="0"/>
        <c:overlap val="100"/>
        <c:axId val="469518864"/>
        <c:axId val="469516904"/>
      </c:barChart>
      <c:scatterChart>
        <c:scatterStyle val="lineMarker"/>
        <c:varyColors val="0"/>
        <c:ser>
          <c:idx val="0"/>
          <c:order val="1"/>
          <c:tx>
            <c:v>Risks</c:v>
          </c:tx>
          <c:spPr>
            <a:ln w="47625">
              <a:noFill/>
            </a:ln>
          </c:spPr>
          <c:dLbls>
            <c:dLbl>
              <c:idx val="0"/>
              <c:layout/>
              <c:tx>
                <c:rich>
                  <a:bodyPr/>
                  <a:lstStyle/>
                  <a:p>
                    <a:fld id="{823F1644-D27E-47D5-9128-2D4AF43F8C51}" type="CELLRANGE">
                      <a:rPr lang="en-US"/>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Lst>
            </c:dLbl>
            <c:dLbl>
              <c:idx val="1"/>
              <c:layout/>
              <c:tx>
                <c:rich>
                  <a:bodyPr/>
                  <a:lstStyle/>
                  <a:p>
                    <a:fld id="{21ABE439-586F-4766-AFCC-4E561F0D5472}"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2"/>
              <c:layout/>
              <c:tx>
                <c:rich>
                  <a:bodyPr/>
                  <a:lstStyle/>
                  <a:p>
                    <a:fld id="{76FC7867-6463-4AE2-90BD-B1B60B408F43}"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3"/>
              <c:layout/>
              <c:tx>
                <c:rich>
                  <a:bodyPr/>
                  <a:lstStyle/>
                  <a:p>
                    <a:fld id="{CA4C9AA9-6D5F-4241-A1E2-7AB646E1D990}"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4"/>
              <c:layout/>
              <c:tx>
                <c:rich>
                  <a:bodyPr/>
                  <a:lstStyle/>
                  <a:p>
                    <a:fld id="{0831C13B-8D46-4D16-B047-1C60E311F537}"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5"/>
              <c:layout/>
              <c:tx>
                <c:rich>
                  <a:bodyPr/>
                  <a:lstStyle/>
                  <a:p>
                    <a:fld id="{3CCEBA41-DDB7-4379-837E-6286F6FB8C9B}"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6"/>
              <c:layout/>
              <c:tx>
                <c:rich>
                  <a:bodyPr/>
                  <a:lstStyle/>
                  <a:p>
                    <a:fld id="{1D3F20DE-3337-4D8D-9683-47C1BF86905A}"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7"/>
              <c:layout/>
              <c:tx>
                <c:rich>
                  <a:bodyPr/>
                  <a:lstStyle/>
                  <a:p>
                    <a:fld id="{D01F5484-3ACE-48B2-A6F9-0BF7F5EFE6A6}"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8"/>
              <c:layout/>
              <c:tx>
                <c:rich>
                  <a:bodyPr/>
                  <a:lstStyle/>
                  <a:p>
                    <a:fld id="{60A4C1C2-4475-44F4-AF9C-F1669A0A8ED2}"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9"/>
              <c:layout/>
              <c:tx>
                <c:rich>
                  <a:bodyPr/>
                  <a:lstStyle/>
                  <a:p>
                    <a:fld id="{8679752F-6917-4C4C-AE7E-7492FED0C188}"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0"/>
              <c:layout/>
              <c:tx>
                <c:rich>
                  <a:bodyPr/>
                  <a:lstStyle/>
                  <a:p>
                    <a:fld id="{6C093D96-E391-47B7-9B32-BDF4DE4EF6C7}"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1"/>
              <c:layout/>
              <c:tx>
                <c:rich>
                  <a:bodyPr/>
                  <a:lstStyle/>
                  <a:p>
                    <a:fld id="{5239FF97-A6D3-4537-9014-592F7C745237}"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2"/>
              <c:layout/>
              <c:tx>
                <c:rich>
                  <a:bodyPr/>
                  <a:lstStyle/>
                  <a:p>
                    <a:fld id="{56F2639A-6D0A-45DC-BA7E-403AC5758784}"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3"/>
              <c:layout/>
              <c:tx>
                <c:rich>
                  <a:bodyPr/>
                  <a:lstStyle/>
                  <a:p>
                    <a:fld id="{25AA9027-6C58-4C4F-98E8-F69295FB9AE6}"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4"/>
              <c:tx>
                <c:rich>
                  <a:bodyPr/>
                  <a:lstStyle/>
                  <a:p>
                    <a:fld id="{2B710E53-51CB-48F4-9965-AD40CE56FAEF}"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5"/>
              <c:tx>
                <c:rich>
                  <a:bodyPr/>
                  <a:lstStyle/>
                  <a:p>
                    <a:fld id="{09C1A851-9120-4B84-9AD1-C3FCAC87A7BC}"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6"/>
              <c:tx>
                <c:rich>
                  <a:bodyPr/>
                  <a:lstStyle/>
                  <a:p>
                    <a:fld id="{4F435D1A-D054-4061-8247-59C3D56E2901}"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7"/>
              <c:tx>
                <c:rich>
                  <a:bodyPr/>
                  <a:lstStyle/>
                  <a:p>
                    <a:fld id="{64D8C7DB-9E96-4BDF-A11F-807E9171640D}"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8"/>
              <c:tx>
                <c:rich>
                  <a:bodyPr/>
                  <a:lstStyle/>
                  <a:p>
                    <a:fld id="{D9E27D31-68C5-45D3-8371-7F77F3BFD3F4}"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9"/>
              <c:tx>
                <c:rich>
                  <a:bodyPr/>
                  <a:lstStyle/>
                  <a:p>
                    <a:fld id="{9EA342D2-63AF-4C31-BAFF-C15EF88A27CE}"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0"/>
              </c:ext>
            </c:extLst>
          </c:dLbls>
          <c:xVal>
            <c:numRef>
              <c:f>FMEA!$X$18:$X$37</c:f>
              <c:numCache>
                <c:formatCode>0.0</c:formatCode>
                <c:ptCount val="14"/>
                <c:pt idx="0">
                  <c:v>5</c:v>
                </c:pt>
                <c:pt idx="1">
                  <c:v>5</c:v>
                </c:pt>
                <c:pt idx="2">
                  <c:v>2</c:v>
                </c:pt>
                <c:pt idx="3">
                  <c:v>6</c:v>
                </c:pt>
                <c:pt idx="4">
                  <c:v>7</c:v>
                </c:pt>
                <c:pt idx="5">
                  <c:v>9</c:v>
                </c:pt>
                <c:pt idx="6">
                  <c:v>4</c:v>
                </c:pt>
                <c:pt idx="7">
                  <c:v>10</c:v>
                </c:pt>
                <c:pt idx="8">
                  <c:v>8</c:v>
                </c:pt>
                <c:pt idx="9">
                  <c:v>5</c:v>
                </c:pt>
                <c:pt idx="10">
                  <c:v>2</c:v>
                </c:pt>
                <c:pt idx="11">
                  <c:v>10</c:v>
                </c:pt>
                <c:pt idx="12">
                  <c:v>7</c:v>
                </c:pt>
                <c:pt idx="13">
                  <c:v>10</c:v>
                </c:pt>
              </c:numCache>
            </c:numRef>
          </c:xVal>
          <c:yVal>
            <c:numRef>
              <c:f>FMEA!$W$18:$W$37</c:f>
              <c:numCache>
                <c:formatCode>0.0</c:formatCode>
                <c:ptCount val="14"/>
                <c:pt idx="0">
                  <c:v>3.2</c:v>
                </c:pt>
                <c:pt idx="1">
                  <c:v>2.8</c:v>
                </c:pt>
                <c:pt idx="2">
                  <c:v>8</c:v>
                </c:pt>
                <c:pt idx="3">
                  <c:v>4</c:v>
                </c:pt>
                <c:pt idx="4">
                  <c:v>5</c:v>
                </c:pt>
                <c:pt idx="5">
                  <c:v>2</c:v>
                </c:pt>
                <c:pt idx="6">
                  <c:v>2</c:v>
                </c:pt>
                <c:pt idx="7">
                  <c:v>2.2000000000000002</c:v>
                </c:pt>
                <c:pt idx="8">
                  <c:v>2</c:v>
                </c:pt>
                <c:pt idx="9">
                  <c:v>3</c:v>
                </c:pt>
                <c:pt idx="10">
                  <c:v>5</c:v>
                </c:pt>
                <c:pt idx="11">
                  <c:v>2</c:v>
                </c:pt>
                <c:pt idx="12">
                  <c:v>2</c:v>
                </c:pt>
                <c:pt idx="13">
                  <c:v>3</c:v>
                </c:pt>
              </c:numCache>
            </c:numRef>
          </c:yVal>
          <c:smooth val="0"/>
          <c:extLst>
            <c:ext xmlns:c15="http://schemas.microsoft.com/office/drawing/2012/chart" uri="{02D57815-91ED-43cb-92C2-25804820EDAC}">
              <c15:datalabelsRange>
                <c15:f>FMEA!$AA$18:$AA$37</c15:f>
                <c15:dlblRangeCache>
                  <c:ptCount val="14"/>
                  <c:pt idx="0">
                    <c:v>ID=1</c:v>
                  </c:pt>
                  <c:pt idx="1">
                    <c:v>ID=2</c:v>
                  </c:pt>
                  <c:pt idx="2">
                    <c:v>ID=3</c:v>
                  </c:pt>
                  <c:pt idx="3">
                    <c:v>ID=4</c:v>
                  </c:pt>
                  <c:pt idx="4">
                    <c:v>ID=5</c:v>
                  </c:pt>
                  <c:pt idx="5">
                    <c:v>ID=6</c:v>
                  </c:pt>
                  <c:pt idx="6">
                    <c:v>ID=7</c:v>
                  </c:pt>
                  <c:pt idx="7">
                    <c:v>ID=8</c:v>
                  </c:pt>
                  <c:pt idx="8">
                    <c:v>ID=9</c:v>
                  </c:pt>
                  <c:pt idx="9">
                    <c:v>ID=10</c:v>
                  </c:pt>
                  <c:pt idx="10">
                    <c:v>ID=11</c:v>
                  </c:pt>
                  <c:pt idx="11">
                    <c:v>ID=12</c:v>
                  </c:pt>
                  <c:pt idx="12">
                    <c:v>ID=13</c:v>
                  </c:pt>
                  <c:pt idx="13">
                    <c:v>ID=14</c:v>
                  </c:pt>
                </c15:dlblRangeCache>
              </c15:datalabelsRange>
            </c:ext>
          </c:extLst>
        </c:ser>
        <c:dLbls>
          <c:showLegendKey val="0"/>
          <c:showVal val="0"/>
          <c:showCatName val="0"/>
          <c:showSerName val="0"/>
          <c:showPercent val="0"/>
          <c:showBubbleSize val="0"/>
        </c:dLbls>
        <c:axId val="469518080"/>
        <c:axId val="469517688"/>
      </c:scatterChart>
      <c:valAx>
        <c:axId val="469516904"/>
        <c:scaling>
          <c:orientation val="minMax"/>
          <c:max val="10.5"/>
          <c:min val="0.5"/>
        </c:scaling>
        <c:delete val="0"/>
        <c:axPos val="b"/>
        <c:majorGridlines/>
        <c:title>
          <c:tx>
            <c:strRef>
              <c:f>'FMEA-Risk-Matrix'!$B$5</c:f>
              <c:strCache>
                <c:ptCount val="1"/>
                <c:pt idx="0">
                  <c:v>Schweregrad</c:v>
                </c:pt>
              </c:strCache>
            </c:strRef>
          </c:tx>
          <c:layout/>
          <c:overlay val="0"/>
          <c:txPr>
            <a:bodyPr/>
            <a:lstStyle/>
            <a:p>
              <a:pPr>
                <a:defRPr/>
              </a:pPr>
              <a:endParaRPr lang="de-DE"/>
            </a:p>
          </c:txPr>
        </c:title>
        <c:numFmt formatCode="0.0" sourceLinked="0"/>
        <c:majorTickMark val="none"/>
        <c:minorTickMark val="none"/>
        <c:tickLblPos val="nextTo"/>
        <c:crossAx val="469518864"/>
        <c:crosses val="autoZero"/>
        <c:crossBetween val="between"/>
      </c:valAx>
      <c:catAx>
        <c:axId val="469518864"/>
        <c:scaling>
          <c:orientation val="minMax"/>
          <c:max val="10.5"/>
          <c:min val="0.5"/>
        </c:scaling>
        <c:delete val="0"/>
        <c:axPos val="l"/>
        <c:majorGridlines/>
        <c:title>
          <c:tx>
            <c:strRef>
              <c:f>'FMEA-Risk-Matrix'!$B$6</c:f>
              <c:strCache>
                <c:ptCount val="1"/>
                <c:pt idx="0">
                  <c:v>Auftrittshäufigkeit</c:v>
                </c:pt>
              </c:strCache>
            </c:strRef>
          </c:tx>
          <c:layout/>
          <c:overlay val="0"/>
          <c:txPr>
            <a:bodyPr rot="-5400000" vert="horz"/>
            <a:lstStyle/>
            <a:p>
              <a:pPr>
                <a:defRPr/>
              </a:pPr>
              <a:endParaRPr lang="de-DE"/>
            </a:p>
          </c:txPr>
        </c:title>
        <c:numFmt formatCode="0.0" sourceLinked="1"/>
        <c:majorTickMark val="out"/>
        <c:minorTickMark val="none"/>
        <c:tickLblPos val="nextTo"/>
        <c:crossAx val="469516904"/>
        <c:crossesAt val="0.5"/>
        <c:auto val="1"/>
        <c:lblAlgn val="ctr"/>
        <c:lblOffset val="100"/>
        <c:noMultiLvlLbl val="0"/>
      </c:catAx>
      <c:valAx>
        <c:axId val="469517688"/>
        <c:scaling>
          <c:orientation val="minMax"/>
          <c:max val="10.5"/>
          <c:min val="0.5"/>
        </c:scaling>
        <c:delete val="0"/>
        <c:axPos val="r"/>
        <c:numFmt formatCode="0.0" sourceLinked="1"/>
        <c:majorTickMark val="none"/>
        <c:minorTickMark val="none"/>
        <c:tickLblPos val="low"/>
        <c:spPr>
          <a:ln/>
        </c:spPr>
        <c:crossAx val="469518080"/>
        <c:crosses val="max"/>
        <c:crossBetween val="midCat"/>
      </c:valAx>
      <c:valAx>
        <c:axId val="469518080"/>
        <c:scaling>
          <c:orientation val="minMax"/>
        </c:scaling>
        <c:delete val="1"/>
        <c:axPos val="b"/>
        <c:numFmt formatCode="0.0" sourceLinked="1"/>
        <c:majorTickMark val="out"/>
        <c:minorTickMark val="none"/>
        <c:tickLblPos val="nextTo"/>
        <c:crossAx val="469517688"/>
        <c:crossesAt val="0.5"/>
        <c:crossBetween val="midCat"/>
      </c:valAx>
      <c:spPr>
        <a:solidFill>
          <a:srgbClr val="FF0000">
            <a:alpha val="68000"/>
          </a:srgbClr>
        </a:solidFill>
      </c:spPr>
    </c:plotArea>
    <c:plotVisOnly val="1"/>
    <c:dispBlanksAs val="zero"/>
    <c:showDLblsOverMax val="0"/>
  </c:chart>
  <c:printSettings>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'MEHARI-Risk-Matrix'!$B$4</c:f>
          <c:strCache>
            <c:ptCount val="1"/>
            <c:pt idx="0">
              <c:v>MEHARI Risiko Matrix - ohne Massnahmen</c:v>
            </c:pt>
          </c:strCache>
        </c:strRef>
      </c:tx>
      <c:overlay val="0"/>
      <c:txPr>
        <a:bodyPr/>
        <a:lstStyle/>
        <a:p>
          <a:pPr>
            <a:defRPr/>
          </a:pPr>
          <a:endParaRPr lang="de-DE"/>
        </a:p>
      </c:txPr>
    </c:title>
    <c:autoTitleDeleted val="0"/>
    <c:plotArea>
      <c:layout/>
      <c:barChart>
        <c:barDir val="bar"/>
        <c:grouping val="stacked"/>
        <c:varyColors val="0"/>
        <c:ser>
          <c:idx val="1"/>
          <c:order val="0"/>
          <c:tx>
            <c:v>Risiko_grün</c:v>
          </c:tx>
          <c:spPr>
            <a:solidFill>
              <a:srgbClr val="008000">
                <a:alpha val="66000"/>
              </a:srgbClr>
            </a:solidFill>
            <a:ln w="9525">
              <a:noFill/>
            </a:ln>
          </c:spPr>
          <c:invertIfNegative val="0"/>
          <c:cat>
            <c:multiLvlStrRef>
              <c:f>FMEA!#REF!</c:f>
            </c:multiLvlStrRef>
          </c:cat>
          <c:val>
            <c:numRef>
              <c:f>'MEHARI-Risk-Matrix'!$S$18:$S$21</c:f>
              <c:numCache>
                <c:formatCode>General</c:formatCode>
                <c:ptCount val="4"/>
                <c:pt idx="0">
                  <c:v>4.5</c:v>
                </c:pt>
                <c:pt idx="1">
                  <c:v>2.5</c:v>
                </c:pt>
                <c:pt idx="2">
                  <c:v>1.5</c:v>
                </c:pt>
                <c:pt idx="3">
                  <c:v>1.5</c:v>
                </c:pt>
              </c:numCache>
            </c:numRef>
          </c:val>
        </c:ser>
        <c:ser>
          <c:idx val="2"/>
          <c:order val="1"/>
          <c:tx>
            <c:v>Risiko_gelb</c:v>
          </c:tx>
          <c:spPr>
            <a:solidFill>
              <a:srgbClr val="FFC000">
                <a:alpha val="66000"/>
              </a:srgbClr>
            </a:solidFill>
            <a:ln>
              <a:noFill/>
            </a:ln>
          </c:spPr>
          <c:invertIfNegative val="0"/>
          <c:cat>
            <c:numRef>
              <c:f>'MEHARI-Risk-Matrix'!$T$18:$T$21</c:f>
              <c:numCache>
                <c:formatCode>General</c:formatCode>
                <c:ptCount val="4"/>
                <c:pt idx="0">
                  <c:v>0</c:v>
                </c:pt>
                <c:pt idx="1">
                  <c:v>1</c:v>
                </c:pt>
                <c:pt idx="2">
                  <c:v>2</c:v>
                </c:pt>
                <c:pt idx="3">
                  <c:v>0</c:v>
                </c:pt>
              </c:numCache>
            </c:numRef>
          </c:cat>
          <c:val>
            <c:numRef>
              <c:f>'MEHARI-Risk-Matrix'!$T$18:$T$21</c:f>
              <c:numCache>
                <c:formatCode>General</c:formatCode>
                <c:ptCount val="4"/>
                <c:pt idx="0">
                  <c:v>0</c:v>
                </c:pt>
                <c:pt idx="1">
                  <c:v>1</c:v>
                </c:pt>
                <c:pt idx="2">
                  <c:v>2</c:v>
                </c:pt>
                <c:pt idx="3">
                  <c:v>0</c:v>
                </c:pt>
              </c:numCache>
            </c:numRef>
          </c:val>
        </c:ser>
        <c:ser>
          <c:idx val="3"/>
          <c:order val="2"/>
          <c:tx>
            <c:v>Risiko_rot</c:v>
          </c:tx>
          <c:spPr>
            <a:solidFill>
              <a:srgbClr val="FF0000">
                <a:alpha val="66000"/>
              </a:srgbClr>
            </a:solidFill>
            <a:ln w="9525">
              <a:noFill/>
            </a:ln>
          </c:spPr>
          <c:invertIfNegative val="0"/>
          <c:dPt>
            <c:idx val="2"/>
            <c:invertIfNegative val="0"/>
            <c:bubble3D val="0"/>
          </c:dPt>
          <c:dPt>
            <c:idx val="3"/>
            <c:invertIfNegative val="0"/>
            <c:bubble3D val="0"/>
          </c:dPt>
          <c:cat>
            <c:numRef>
              <c:f>'MEHARI-Risk-Matrix'!$U$18:$U$21</c:f>
              <c:numCache>
                <c:formatCode>General</c:formatCode>
                <c:ptCount val="4"/>
                <c:pt idx="0">
                  <c:v>0</c:v>
                </c:pt>
                <c:pt idx="1">
                  <c:v>1</c:v>
                </c:pt>
                <c:pt idx="2">
                  <c:v>1</c:v>
                </c:pt>
                <c:pt idx="3">
                  <c:v>3</c:v>
                </c:pt>
              </c:numCache>
            </c:numRef>
          </c:cat>
          <c:val>
            <c:numRef>
              <c:f>'MEHARI-Risk-Matrix'!$U$18:$U$21</c:f>
              <c:numCache>
                <c:formatCode>General</c:formatCode>
                <c:ptCount val="4"/>
                <c:pt idx="0">
                  <c:v>0</c:v>
                </c:pt>
                <c:pt idx="1">
                  <c:v>1</c:v>
                </c:pt>
                <c:pt idx="2">
                  <c:v>1</c:v>
                </c:pt>
                <c:pt idx="3">
                  <c:v>3</c:v>
                </c:pt>
              </c:numCache>
            </c:numRef>
          </c:val>
        </c:ser>
        <c:dLbls>
          <c:showLegendKey val="0"/>
          <c:showVal val="0"/>
          <c:showCatName val="0"/>
          <c:showSerName val="0"/>
          <c:showPercent val="0"/>
          <c:showBubbleSize val="0"/>
        </c:dLbls>
        <c:gapWidth val="0"/>
        <c:overlap val="100"/>
        <c:axId val="469515728"/>
        <c:axId val="469518472"/>
      </c:barChart>
      <c:scatterChart>
        <c:scatterStyle val="lineMarker"/>
        <c:varyColors val="0"/>
        <c:ser>
          <c:idx val="0"/>
          <c:order val="3"/>
          <c:tx>
            <c:v>Risks</c:v>
          </c:tx>
          <c:spPr>
            <a:ln w="47625">
              <a:noFill/>
            </a:ln>
          </c:spPr>
          <c:dLbls>
            <c:dLbl>
              <c:idx val="0"/>
              <c:tx>
                <c:rich>
                  <a:bodyPr/>
                  <a:lstStyle/>
                  <a:p>
                    <a:fld id="{1987EC1D-DF1F-471E-99F6-AE30A8771D42}" type="CELLRANGE">
                      <a:rPr lang="en-US"/>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
              <c:tx>
                <c:rich>
                  <a:bodyPr/>
                  <a:lstStyle/>
                  <a:p>
                    <a:fld id="{7595C14E-9A6F-4BEC-98FC-71B2626B39C8}"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80297FCE-D0EC-4865-842C-F6BFEBCD5ED3}"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3"/>
              <c:tx>
                <c:rich>
                  <a:bodyPr/>
                  <a:lstStyle/>
                  <a:p>
                    <a:fld id="{F0EE1151-430B-4E12-BE64-D2561F456B15}" type="CELLRANGE">
                      <a:rPr lang="de-CH"/>
                      <a:pPr/>
                      <a:t>[ZELLBEREICH]</a:t>
                    </a:fld>
                    <a:endParaRPr lang="de-CH"/>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MEHARI!$K$18:$K$39</c:f>
              <c:numCache>
                <c:formatCode>0</c:formatCode>
                <c:ptCount val="4"/>
                <c:pt idx="0">
                  <c:v>3</c:v>
                </c:pt>
                <c:pt idx="1">
                  <c:v>4</c:v>
                </c:pt>
                <c:pt idx="2">
                  <c:v>4</c:v>
                </c:pt>
                <c:pt idx="3">
                  <c:v>4</c:v>
                </c:pt>
              </c:numCache>
            </c:numRef>
          </c:xVal>
          <c:yVal>
            <c:numRef>
              <c:f>MEHARI!$AF$18:$AF$39</c:f>
              <c:numCache>
                <c:formatCode>0.0</c:formatCode>
                <c:ptCount val="4"/>
                <c:pt idx="0">
                  <c:v>2</c:v>
                </c:pt>
                <c:pt idx="1">
                  <c:v>2.1</c:v>
                </c:pt>
                <c:pt idx="2">
                  <c:v>1</c:v>
                </c:pt>
                <c:pt idx="3">
                  <c:v>2</c:v>
                </c:pt>
              </c:numCache>
            </c:numRef>
          </c:yVal>
          <c:smooth val="0"/>
          <c:extLst>
            <c:ext xmlns:c15="http://schemas.microsoft.com/office/drawing/2012/chart" uri="{02D57815-91ED-43cb-92C2-25804820EDAC}">
              <c15:datalabelsRange>
                <c15:f>MEHARI!$AD$18:$AD$40</c15:f>
                <c15:dlblRangeCache>
                  <c:ptCount val="4"/>
                  <c:pt idx="0">
                    <c:v>ID=1</c:v>
                  </c:pt>
                  <c:pt idx="1">
                    <c:v>ID=2</c:v>
                  </c:pt>
                  <c:pt idx="2">
                    <c:v>ID=3</c:v>
                  </c:pt>
                  <c:pt idx="3">
                    <c:v>ID=4</c:v>
                  </c:pt>
                </c15:dlblRangeCache>
              </c15:datalabelsRange>
            </c:ext>
          </c:extLst>
        </c:ser>
        <c:dLbls>
          <c:showLegendKey val="0"/>
          <c:showVal val="0"/>
          <c:showCatName val="0"/>
          <c:showSerName val="0"/>
          <c:showPercent val="0"/>
          <c:showBubbleSize val="0"/>
        </c:dLbls>
        <c:axId val="469513376"/>
        <c:axId val="469514160"/>
      </c:scatterChart>
      <c:valAx>
        <c:axId val="469513376"/>
        <c:scaling>
          <c:orientation val="minMax"/>
          <c:max val="4.5"/>
          <c:min val="0.5"/>
        </c:scaling>
        <c:delete val="0"/>
        <c:axPos val="b"/>
        <c:majorGridlines/>
        <c:title>
          <c:tx>
            <c:strRef>
              <c:f>'MEHARI-Risk-Matrix'!$B$5</c:f>
              <c:strCache>
                <c:ptCount val="1"/>
                <c:pt idx="0">
                  <c:v>Schweregrad</c:v>
                </c:pt>
              </c:strCache>
            </c:strRef>
          </c:tx>
          <c:overlay val="0"/>
          <c:txPr>
            <a:bodyPr/>
            <a:lstStyle/>
            <a:p>
              <a:pPr>
                <a:defRPr/>
              </a:pPr>
              <a:endParaRPr lang="de-DE"/>
            </a:p>
          </c:txPr>
        </c:title>
        <c:numFmt formatCode="0.0" sourceLinked="0"/>
        <c:majorTickMark val="out"/>
        <c:minorTickMark val="none"/>
        <c:tickLblPos val="nextTo"/>
        <c:crossAx val="469514160"/>
        <c:crosses val="autoZero"/>
        <c:crossBetween val="midCat"/>
        <c:majorUnit val="1"/>
      </c:valAx>
      <c:valAx>
        <c:axId val="469514160"/>
        <c:scaling>
          <c:orientation val="minMax"/>
          <c:max val="4.5"/>
          <c:min val="0.5"/>
        </c:scaling>
        <c:delete val="0"/>
        <c:axPos val="l"/>
        <c:majorGridlines/>
        <c:title>
          <c:tx>
            <c:strRef>
              <c:f>'MEHARI-Risk-Matrix'!$B$6</c:f>
              <c:strCache>
                <c:ptCount val="1"/>
                <c:pt idx="0">
                  <c:v>Auftrittshäufigkeit</c:v>
                </c:pt>
              </c:strCache>
            </c:strRef>
          </c:tx>
          <c:overlay val="0"/>
          <c:txPr>
            <a:bodyPr rot="-5400000" vert="horz"/>
            <a:lstStyle/>
            <a:p>
              <a:pPr>
                <a:defRPr/>
              </a:pPr>
              <a:endParaRPr lang="de-DE"/>
            </a:p>
          </c:txPr>
        </c:title>
        <c:numFmt formatCode="0.0" sourceLinked="1"/>
        <c:majorTickMark val="out"/>
        <c:minorTickMark val="none"/>
        <c:tickLblPos val="nextTo"/>
        <c:crossAx val="469513376"/>
        <c:crossesAt val="0.5"/>
        <c:crossBetween val="midCat"/>
        <c:majorUnit val="1"/>
      </c:valAx>
      <c:valAx>
        <c:axId val="469518472"/>
        <c:scaling>
          <c:orientation val="minMax"/>
        </c:scaling>
        <c:delete val="1"/>
        <c:axPos val="t"/>
        <c:numFmt formatCode="General" sourceLinked="1"/>
        <c:majorTickMark val="out"/>
        <c:minorTickMark val="none"/>
        <c:tickLblPos val="nextTo"/>
        <c:crossAx val="469515728"/>
        <c:crosses val="max"/>
        <c:crossBetween val="between"/>
      </c:valAx>
      <c:catAx>
        <c:axId val="469515728"/>
        <c:scaling>
          <c:orientation val="minMax"/>
        </c:scaling>
        <c:delete val="1"/>
        <c:axPos val="l"/>
        <c:numFmt formatCode="General" sourceLinked="1"/>
        <c:majorTickMark val="out"/>
        <c:minorTickMark val="none"/>
        <c:tickLblPos val="nextTo"/>
        <c:crossAx val="469518472"/>
        <c:crosses val="autoZero"/>
        <c:auto val="1"/>
        <c:lblAlgn val="ctr"/>
        <c:lblOffset val="100"/>
        <c:noMultiLvlLbl val="0"/>
      </c:catAx>
      <c:spPr>
        <a:noFill/>
        <a:ln w="9525">
          <a:solidFill>
            <a:schemeClr val="bg1">
              <a:lumMod val="75000"/>
            </a:schemeClr>
          </a:solidFill>
        </a:ln>
      </c:spPr>
    </c:plotArea>
    <c:plotVisOnly val="1"/>
    <c:dispBlanksAs val="gap"/>
    <c:showDLblsOverMax val="0"/>
  </c:chart>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title>
      <c:tx>
        <c:strRef>
          <c:f>'MEHARI-Risk-Matrix'!$B$7</c:f>
          <c:strCache>
            <c:ptCount val="1"/>
            <c:pt idx="0">
              <c:v>MEHARI Risiko Matrix - mit Massnahmen</c:v>
            </c:pt>
          </c:strCache>
        </c:strRef>
      </c:tx>
      <c:overlay val="0"/>
      <c:txPr>
        <a:bodyPr/>
        <a:lstStyle/>
        <a:p>
          <a:pPr>
            <a:defRPr/>
          </a:pPr>
          <a:endParaRPr lang="de-DE"/>
        </a:p>
      </c:txPr>
    </c:title>
    <c:autoTitleDeleted val="0"/>
    <c:plotArea>
      <c:layout/>
      <c:barChart>
        <c:barDir val="bar"/>
        <c:grouping val="stacked"/>
        <c:varyColors val="0"/>
        <c:ser>
          <c:idx val="1"/>
          <c:order val="0"/>
          <c:tx>
            <c:v>Risiko_grün</c:v>
          </c:tx>
          <c:spPr>
            <a:solidFill>
              <a:srgbClr val="008000">
                <a:alpha val="66000"/>
              </a:srgbClr>
            </a:solidFill>
            <a:ln w="9525">
              <a:noFill/>
            </a:ln>
          </c:spPr>
          <c:invertIfNegative val="0"/>
          <c:cat>
            <c:multiLvlStrRef>
              <c:f>FMEA!#REF!</c:f>
            </c:multiLvlStrRef>
          </c:cat>
          <c:val>
            <c:numRef>
              <c:f>'MEHARI-Risk-Matrix'!$S$18:$S$21</c:f>
              <c:numCache>
                <c:formatCode>General</c:formatCode>
                <c:ptCount val="4"/>
                <c:pt idx="0">
                  <c:v>4.5</c:v>
                </c:pt>
                <c:pt idx="1">
                  <c:v>2.5</c:v>
                </c:pt>
                <c:pt idx="2">
                  <c:v>1.5</c:v>
                </c:pt>
                <c:pt idx="3">
                  <c:v>1.5</c:v>
                </c:pt>
              </c:numCache>
            </c:numRef>
          </c:val>
        </c:ser>
        <c:ser>
          <c:idx val="2"/>
          <c:order val="1"/>
          <c:tx>
            <c:v>Risiko_gelb</c:v>
          </c:tx>
          <c:spPr>
            <a:solidFill>
              <a:srgbClr val="FFC000">
                <a:alpha val="66000"/>
              </a:srgbClr>
            </a:solidFill>
            <a:ln>
              <a:noFill/>
            </a:ln>
          </c:spPr>
          <c:invertIfNegative val="0"/>
          <c:cat>
            <c:numRef>
              <c:f>'MEHARI-Risk-Matrix'!$T$18:$T$21</c:f>
              <c:numCache>
                <c:formatCode>General</c:formatCode>
                <c:ptCount val="4"/>
                <c:pt idx="0">
                  <c:v>0</c:v>
                </c:pt>
                <c:pt idx="1">
                  <c:v>1</c:v>
                </c:pt>
                <c:pt idx="2">
                  <c:v>2</c:v>
                </c:pt>
                <c:pt idx="3">
                  <c:v>0</c:v>
                </c:pt>
              </c:numCache>
            </c:numRef>
          </c:cat>
          <c:val>
            <c:numRef>
              <c:f>'MEHARI-Risk-Matrix'!$T$18:$T$21</c:f>
              <c:numCache>
                <c:formatCode>General</c:formatCode>
                <c:ptCount val="4"/>
                <c:pt idx="0">
                  <c:v>0</c:v>
                </c:pt>
                <c:pt idx="1">
                  <c:v>1</c:v>
                </c:pt>
                <c:pt idx="2">
                  <c:v>2</c:v>
                </c:pt>
                <c:pt idx="3">
                  <c:v>0</c:v>
                </c:pt>
              </c:numCache>
            </c:numRef>
          </c:val>
        </c:ser>
        <c:ser>
          <c:idx val="3"/>
          <c:order val="2"/>
          <c:tx>
            <c:v>Risiko_rot</c:v>
          </c:tx>
          <c:spPr>
            <a:noFill/>
            <a:ln w="9525">
              <a:noFill/>
            </a:ln>
          </c:spPr>
          <c:invertIfNegative val="0"/>
          <c:dPt>
            <c:idx val="1"/>
            <c:invertIfNegative val="0"/>
            <c:bubble3D val="0"/>
            <c:spPr>
              <a:solidFill>
                <a:srgbClr val="FF0000">
                  <a:alpha val="66000"/>
                </a:srgbClr>
              </a:solidFill>
              <a:ln w="9525">
                <a:noFill/>
              </a:ln>
            </c:spPr>
          </c:dPt>
          <c:dPt>
            <c:idx val="2"/>
            <c:invertIfNegative val="0"/>
            <c:bubble3D val="0"/>
            <c:spPr>
              <a:solidFill>
                <a:srgbClr val="FF0000">
                  <a:alpha val="66000"/>
                </a:srgbClr>
              </a:solidFill>
              <a:ln w="9525">
                <a:noFill/>
              </a:ln>
            </c:spPr>
          </c:dPt>
          <c:dPt>
            <c:idx val="3"/>
            <c:invertIfNegative val="0"/>
            <c:bubble3D val="0"/>
            <c:spPr>
              <a:solidFill>
                <a:srgbClr val="FF0000">
                  <a:alpha val="66000"/>
                </a:srgbClr>
              </a:solidFill>
              <a:ln w="9525">
                <a:noFill/>
              </a:ln>
            </c:spPr>
          </c:dPt>
          <c:cat>
            <c:numRef>
              <c:f>'MEHARI-Risk-Matrix'!$U$18:$U$21</c:f>
              <c:numCache>
                <c:formatCode>General</c:formatCode>
                <c:ptCount val="4"/>
                <c:pt idx="0">
                  <c:v>0</c:v>
                </c:pt>
                <c:pt idx="1">
                  <c:v>1</c:v>
                </c:pt>
                <c:pt idx="2">
                  <c:v>1</c:v>
                </c:pt>
                <c:pt idx="3">
                  <c:v>3</c:v>
                </c:pt>
              </c:numCache>
            </c:numRef>
          </c:cat>
          <c:val>
            <c:numRef>
              <c:f>'MEHARI-Risk-Matrix'!$U$18:$U$21</c:f>
              <c:numCache>
                <c:formatCode>General</c:formatCode>
                <c:ptCount val="4"/>
                <c:pt idx="0">
                  <c:v>0</c:v>
                </c:pt>
                <c:pt idx="1">
                  <c:v>1</c:v>
                </c:pt>
                <c:pt idx="2">
                  <c:v>1</c:v>
                </c:pt>
                <c:pt idx="3">
                  <c:v>3</c:v>
                </c:pt>
              </c:numCache>
            </c:numRef>
          </c:val>
        </c:ser>
        <c:dLbls>
          <c:showLegendKey val="0"/>
          <c:showVal val="0"/>
          <c:showCatName val="0"/>
          <c:showSerName val="0"/>
          <c:showPercent val="0"/>
          <c:showBubbleSize val="0"/>
        </c:dLbls>
        <c:gapWidth val="0"/>
        <c:overlap val="100"/>
        <c:axId val="469513768"/>
        <c:axId val="469514944"/>
      </c:barChart>
      <c:scatterChart>
        <c:scatterStyle val="lineMarker"/>
        <c:varyColors val="0"/>
        <c:ser>
          <c:idx val="0"/>
          <c:order val="3"/>
          <c:tx>
            <c:v>Risks</c:v>
          </c:tx>
          <c:spPr>
            <a:ln w="47625">
              <a:noFill/>
            </a:ln>
          </c:spPr>
          <c:dLbls>
            <c:dLbl>
              <c:idx val="0"/>
              <c:tx>
                <c:rich>
                  <a:bodyPr/>
                  <a:lstStyle/>
                  <a:p>
                    <a:fld id="{D3F8E372-D7BA-4A92-9C48-FD6CD84617D0}" type="CELLRANGE">
                      <a:rPr lang="en-US"/>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
              <c:tx>
                <c:rich>
                  <a:bodyPr/>
                  <a:lstStyle/>
                  <a:p>
                    <a:fld id="{CBA56558-1DBF-4963-A50C-08D10D931C06}"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2"/>
              <c:tx>
                <c:rich>
                  <a:bodyPr/>
                  <a:lstStyle/>
                  <a:p>
                    <a:fld id="{42FA5929-8815-4996-9AFB-6453D628F76C}"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dLbl>
              <c:idx val="3"/>
              <c:tx>
                <c:rich>
                  <a:bodyPr/>
                  <a:lstStyle/>
                  <a:p>
                    <a:fld id="{D66A4F53-2A54-4831-99F4-88E07ECD19FF}" type="CELLRANGE">
                      <a:rPr lang="de-CH"/>
                      <a:pPr/>
                      <a:t>[ZELLBEREICH]</a:t>
                    </a:fld>
                    <a:endParaRPr lang="de-CH"/>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spPr>
              <a:noFill/>
              <a:ln>
                <a:noFill/>
              </a:ln>
              <a:effectLst/>
            </c:spPr>
            <c:dLblPos val="r"/>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xVal>
            <c:numRef>
              <c:f>MEHARI!$N$18:$N$39</c:f>
              <c:numCache>
                <c:formatCode>0</c:formatCode>
                <c:ptCount val="4"/>
                <c:pt idx="0">
                  <c:v>2</c:v>
                </c:pt>
                <c:pt idx="1">
                  <c:v>3</c:v>
                </c:pt>
                <c:pt idx="2">
                  <c:v>2</c:v>
                </c:pt>
                <c:pt idx="3">
                  <c:v>4</c:v>
                </c:pt>
              </c:numCache>
            </c:numRef>
          </c:xVal>
          <c:yVal>
            <c:numRef>
              <c:f>MEHARI!$AI$18:$AI$39</c:f>
              <c:numCache>
                <c:formatCode>0.0</c:formatCode>
                <c:ptCount val="4"/>
                <c:pt idx="0">
                  <c:v>2.1</c:v>
                </c:pt>
                <c:pt idx="1">
                  <c:v>2</c:v>
                </c:pt>
                <c:pt idx="2">
                  <c:v>1</c:v>
                </c:pt>
                <c:pt idx="3">
                  <c:v>2</c:v>
                </c:pt>
              </c:numCache>
            </c:numRef>
          </c:yVal>
          <c:smooth val="0"/>
          <c:extLst>
            <c:ext xmlns:c15="http://schemas.microsoft.com/office/drawing/2012/chart" uri="{02D57815-91ED-43cb-92C2-25804820EDAC}">
              <c15:datalabelsRange>
                <c15:f>MEHARI!$AE$18:$AE$39</c15:f>
                <c15:dlblRangeCache>
                  <c:ptCount val="4"/>
                  <c:pt idx="0">
                    <c:v>ID=1</c:v>
                  </c:pt>
                  <c:pt idx="1">
                    <c:v>ID=2</c:v>
                  </c:pt>
                  <c:pt idx="2">
                    <c:v>ID=3</c:v>
                  </c:pt>
                  <c:pt idx="3">
                    <c:v>ID=4</c:v>
                  </c:pt>
                </c15:dlblRangeCache>
              </c15:datalabelsRange>
            </c:ext>
          </c:extLst>
        </c:ser>
        <c:dLbls>
          <c:showLegendKey val="0"/>
          <c:showVal val="0"/>
          <c:showCatName val="0"/>
          <c:showSerName val="0"/>
          <c:showPercent val="0"/>
          <c:showBubbleSize val="0"/>
        </c:dLbls>
        <c:axId val="469512200"/>
        <c:axId val="469512592"/>
      </c:scatterChart>
      <c:valAx>
        <c:axId val="469512200"/>
        <c:scaling>
          <c:orientation val="minMax"/>
          <c:max val="4.5"/>
          <c:min val="0.5"/>
        </c:scaling>
        <c:delete val="0"/>
        <c:axPos val="b"/>
        <c:majorGridlines/>
        <c:title>
          <c:tx>
            <c:strRef>
              <c:f>'MEHARI-Risk-Matrix'!$B$5</c:f>
              <c:strCache>
                <c:ptCount val="1"/>
                <c:pt idx="0">
                  <c:v>Schweregrad</c:v>
                </c:pt>
              </c:strCache>
            </c:strRef>
          </c:tx>
          <c:overlay val="0"/>
          <c:txPr>
            <a:bodyPr/>
            <a:lstStyle/>
            <a:p>
              <a:pPr>
                <a:defRPr/>
              </a:pPr>
              <a:endParaRPr lang="de-DE"/>
            </a:p>
          </c:txPr>
        </c:title>
        <c:numFmt formatCode="0.0" sourceLinked="0"/>
        <c:majorTickMark val="out"/>
        <c:minorTickMark val="none"/>
        <c:tickLblPos val="nextTo"/>
        <c:crossAx val="469512592"/>
        <c:crosses val="autoZero"/>
        <c:crossBetween val="midCat"/>
        <c:majorUnit val="1"/>
      </c:valAx>
      <c:valAx>
        <c:axId val="469512592"/>
        <c:scaling>
          <c:orientation val="minMax"/>
          <c:max val="4.5"/>
          <c:min val="0.5"/>
        </c:scaling>
        <c:delete val="0"/>
        <c:axPos val="l"/>
        <c:majorGridlines/>
        <c:title>
          <c:tx>
            <c:strRef>
              <c:f>'MEHARI-Risk-Matrix'!$B$6</c:f>
              <c:strCache>
                <c:ptCount val="1"/>
                <c:pt idx="0">
                  <c:v>Auftrittshäufigkeit</c:v>
                </c:pt>
              </c:strCache>
            </c:strRef>
          </c:tx>
          <c:overlay val="0"/>
          <c:txPr>
            <a:bodyPr rot="-5400000" vert="horz"/>
            <a:lstStyle/>
            <a:p>
              <a:pPr>
                <a:defRPr/>
              </a:pPr>
              <a:endParaRPr lang="de-DE"/>
            </a:p>
          </c:txPr>
        </c:title>
        <c:numFmt formatCode="0.0" sourceLinked="1"/>
        <c:majorTickMark val="out"/>
        <c:minorTickMark val="none"/>
        <c:tickLblPos val="nextTo"/>
        <c:crossAx val="469512200"/>
        <c:crosses val="autoZero"/>
        <c:crossBetween val="midCat"/>
        <c:majorUnit val="1"/>
      </c:valAx>
      <c:valAx>
        <c:axId val="469514944"/>
        <c:scaling>
          <c:orientation val="minMax"/>
        </c:scaling>
        <c:delete val="1"/>
        <c:axPos val="t"/>
        <c:numFmt formatCode="General" sourceLinked="1"/>
        <c:majorTickMark val="out"/>
        <c:minorTickMark val="none"/>
        <c:tickLblPos val="nextTo"/>
        <c:crossAx val="469513768"/>
        <c:crosses val="max"/>
        <c:crossBetween val="between"/>
      </c:valAx>
      <c:catAx>
        <c:axId val="469513768"/>
        <c:scaling>
          <c:orientation val="minMax"/>
        </c:scaling>
        <c:delete val="1"/>
        <c:axPos val="l"/>
        <c:numFmt formatCode="General" sourceLinked="1"/>
        <c:majorTickMark val="out"/>
        <c:minorTickMark val="none"/>
        <c:tickLblPos val="nextTo"/>
        <c:crossAx val="469514944"/>
        <c:crosses val="autoZero"/>
        <c:auto val="1"/>
        <c:lblAlgn val="ctr"/>
        <c:lblOffset val="100"/>
        <c:noMultiLvlLbl val="0"/>
      </c:catAx>
      <c:spPr>
        <a:noFill/>
        <a:ln w="9525">
          <a:solidFill>
            <a:schemeClr val="bg1">
              <a:lumMod val="75000"/>
            </a:schemeClr>
          </a:solidFill>
        </a:ln>
      </c:spPr>
    </c:plotArea>
    <c:plotVisOnly val="1"/>
    <c:dispBlanksAs val="gap"/>
    <c:showDLblsOverMax val="0"/>
  </c:chart>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1495425</xdr:colOff>
      <xdr:row>1</xdr:row>
      <xdr:rowOff>152400</xdr:rowOff>
    </xdr:from>
    <xdr:to>
      <xdr:col>0</xdr:col>
      <xdr:colOff>4667250</xdr:colOff>
      <xdr:row>11</xdr:row>
      <xdr:rowOff>63435</xdr:rowOff>
    </xdr:to>
    <xdr:pic>
      <xdr:nvPicPr>
        <xdr:cNvPr id="2" name="Grafik 1" descr="http://engineering.zhaw.ch/fileadmin/user_upload/engineering/Medien/Logos/de-soe-cmyk.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5425" y="314325"/>
          <a:ext cx="3171825" cy="1720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2038350</xdr:colOff>
      <xdr:row>51</xdr:row>
      <xdr:rowOff>159203</xdr:rowOff>
    </xdr:from>
    <xdr:to>
      <xdr:col>22</xdr:col>
      <xdr:colOff>34019</xdr:colOff>
      <xdr:row>87</xdr:row>
      <xdr:rowOff>185058</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166007</xdr:colOff>
      <xdr:row>15</xdr:row>
      <xdr:rowOff>96611</xdr:rowOff>
    </xdr:from>
    <xdr:to>
      <xdr:col>10</xdr:col>
      <xdr:colOff>842283</xdr:colOff>
      <xdr:row>47</xdr:row>
      <xdr:rowOff>163287</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15</xdr:row>
      <xdr:rowOff>57150</xdr:rowOff>
    </xdr:from>
    <xdr:to>
      <xdr:col>6</xdr:col>
      <xdr:colOff>190501</xdr:colOff>
      <xdr:row>47</xdr:row>
      <xdr:rowOff>57150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304800</xdr:colOff>
      <xdr:row>15</xdr:row>
      <xdr:rowOff>57149</xdr:rowOff>
    </xdr:from>
    <xdr:to>
      <xdr:col>13</xdr:col>
      <xdr:colOff>542926</xdr:colOff>
      <xdr:row>47</xdr:row>
      <xdr:rowOff>66674</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choenm1@students.zhaw.ch" TargetMode="External"/><Relationship Id="rId1" Type="http://schemas.openxmlformats.org/officeDocument/2006/relationships/hyperlink" Target="mailto:hans@muster.ch"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9" tint="0.39997558519241921"/>
  </sheetPr>
  <dimension ref="A1:F97"/>
  <sheetViews>
    <sheetView topLeftCell="A73" workbookViewId="0">
      <selection activeCell="C102" sqref="C102"/>
    </sheetView>
  </sheetViews>
  <sheetFormatPr baseColWidth="10" defaultRowHeight="15" x14ac:dyDescent="0.25"/>
  <cols>
    <col min="2" max="2" width="68.28515625" customWidth="1"/>
    <col min="3" max="4" width="25.7109375" customWidth="1"/>
    <col min="5" max="5" width="15.7109375" customWidth="1"/>
    <col min="6" max="6" width="29.28515625" style="10" customWidth="1"/>
    <col min="7" max="7" width="67.42578125" customWidth="1"/>
    <col min="8" max="8" width="25.7109375" customWidth="1"/>
    <col min="9" max="9" width="40.28515625" customWidth="1"/>
  </cols>
  <sheetData>
    <row r="1" spans="1:6" ht="30.75" thickBot="1" x14ac:dyDescent="0.3">
      <c r="A1" s="284" t="str">
        <f>VLOOKUP(5052,LANGUAGE_DB,2,FALSE)</f>
        <v>Kundenangaben</v>
      </c>
      <c r="B1" s="285"/>
      <c r="C1" s="42" t="s">
        <v>475</v>
      </c>
      <c r="E1" s="42" t="s">
        <v>29</v>
      </c>
      <c r="F1"/>
    </row>
    <row r="2" spans="1:6" ht="15.75" thickBot="1" x14ac:dyDescent="0.3">
      <c r="A2" s="145" t="s">
        <v>491</v>
      </c>
      <c r="B2" s="146"/>
      <c r="C2" s="144" t="s">
        <v>493</v>
      </c>
      <c r="E2" s="34">
        <v>0</v>
      </c>
      <c r="F2" t="s">
        <v>152</v>
      </c>
    </row>
    <row r="3" spans="1:6" ht="15.75" thickBot="1" x14ac:dyDescent="0.3">
      <c r="A3" s="112" t="s">
        <v>154</v>
      </c>
      <c r="B3" s="140" t="s">
        <v>165</v>
      </c>
      <c r="C3" s="139" t="s">
        <v>165</v>
      </c>
    </row>
    <row r="4" spans="1:6" x14ac:dyDescent="0.25">
      <c r="A4" s="112" t="s">
        <v>155</v>
      </c>
      <c r="B4" s="140" t="s">
        <v>618</v>
      </c>
      <c r="C4" s="139" t="s">
        <v>476</v>
      </c>
      <c r="E4" s="109" t="str">
        <f>CONCATENATE(VLOOKUP(5018,LANGUAGE_DB,2,FALSE)," ",VLOOKUP(5050,LANGUAGE_DB,2,FALSE))</f>
        <v>Kopfzeile links</v>
      </c>
      <c r="F4" s="105" t="str">
        <f>CONCATENATE("Auditor: ",Auditor_Surname," ", Auditor_Lastname)</f>
        <v>Auditor: Micha Schönenberger</v>
      </c>
    </row>
    <row r="5" spans="1:6" x14ac:dyDescent="0.25">
      <c r="A5" s="112" t="s">
        <v>156</v>
      </c>
      <c r="B5" s="140" t="s">
        <v>619</v>
      </c>
      <c r="C5" s="139" t="s">
        <v>477</v>
      </c>
      <c r="E5" s="110" t="str">
        <f>CONCATENATE(VLOOKUP(5018,LANGUAGE_DB,2,FALSE)," ",VLOOKUP(5057,LANGUAGE_DB,2,FALSE))</f>
        <v>Kopfzeile mittig</v>
      </c>
      <c r="F5" s="106" t="s">
        <v>742</v>
      </c>
    </row>
    <row r="6" spans="1:6" x14ac:dyDescent="0.25">
      <c r="A6" s="112" t="s">
        <v>157</v>
      </c>
      <c r="B6" s="140" t="s">
        <v>490</v>
      </c>
      <c r="C6" s="139"/>
      <c r="E6" s="110" t="str">
        <f>CONCATENATE(VLOOKUP(5018,LANGUAGE_DB,2,FALSE)," ",VLOOKUP(5051,LANGUAGE_DB,2,FALSE))</f>
        <v>Kopfzeile rechts</v>
      </c>
      <c r="F6" s="107" t="s">
        <v>485</v>
      </c>
    </row>
    <row r="7" spans="1:6" x14ac:dyDescent="0.25">
      <c r="A7" s="112" t="s">
        <v>158</v>
      </c>
      <c r="B7" s="141">
        <v>8400</v>
      </c>
      <c r="C7" s="139"/>
      <c r="E7" s="110" t="str">
        <f>CONCATENATE(VLOOKUP(5019,LANGUAGE_DB,2,FALSE)," ",VLOOKUP(5050,LANGUAGE_DB,2,FALSE))</f>
        <v>Fusszeile links</v>
      </c>
      <c r="F7" s="107" t="str">
        <f>CONCATENATE(VLOOKUP(5055,LANGUAGE_DB,2,FALSE),": ",Customer_Surname," ",Customer_Lastname)</f>
        <v>Kunde: Rolf Huber</v>
      </c>
    </row>
    <row r="8" spans="1:6" x14ac:dyDescent="0.25">
      <c r="A8" s="112" t="s">
        <v>159</v>
      </c>
      <c r="B8" s="140" t="s">
        <v>166</v>
      </c>
      <c r="C8" s="139"/>
      <c r="E8" s="110" t="str">
        <f>CONCATENATE(VLOOKUP(5019,LANGUAGE_DB,2,FALSE)," ",VLOOKUP(5057,LANGUAGE_DB,2,FALSE))</f>
        <v>Fusszeile mittig</v>
      </c>
      <c r="F8" s="281" t="str">
        <f ca="1">TEXT(TODAY(),"TT.MM.JJJJ")</f>
        <v>30.07.2015</v>
      </c>
    </row>
    <row r="9" spans="1:6" ht="15.75" thickBot="1" x14ac:dyDescent="0.3">
      <c r="A9" s="112" t="s">
        <v>162</v>
      </c>
      <c r="B9" s="142" t="s">
        <v>167</v>
      </c>
      <c r="C9" s="139"/>
      <c r="E9" s="111" t="str">
        <f>CONCATENATE(VLOOKUP(5019,LANGUAGE_DB,2,FALSE)," ",VLOOKUP(5051,LANGUAGE_DB,2,FALSE))</f>
        <v>Fusszeile rechts</v>
      </c>
      <c r="F9" s="108" t="str">
        <f>CONCATENATE(VLOOKUP(5053,LANGUAGE_DB,2,FALSE)," &amp;P/&amp;N")</f>
        <v>Seite &amp;P/&amp;N</v>
      </c>
    </row>
    <row r="10" spans="1:6" ht="15.75" thickBot="1" x14ac:dyDescent="0.3">
      <c r="A10" s="113" t="s">
        <v>160</v>
      </c>
      <c r="B10" s="143" t="s">
        <v>168</v>
      </c>
      <c r="C10" s="148" t="s">
        <v>492</v>
      </c>
    </row>
    <row r="11" spans="1:6" ht="15.75" thickBot="1" x14ac:dyDescent="0.3"/>
    <row r="12" spans="1:6" ht="30.75" thickBot="1" x14ac:dyDescent="0.3">
      <c r="E12" s="42" t="s">
        <v>512</v>
      </c>
      <c r="F12" s="42" t="s">
        <v>522</v>
      </c>
    </row>
    <row r="13" spans="1:6" ht="15.75" thickBot="1" x14ac:dyDescent="0.3">
      <c r="B13" s="16" t="s">
        <v>64</v>
      </c>
      <c r="E13" s="41" t="str">
        <f>YES</f>
        <v>Ja</v>
      </c>
      <c r="F13" s="41" t="str">
        <f>IF(Language_chosen=0,"Ja","Yes")</f>
        <v>Ja</v>
      </c>
    </row>
    <row r="14" spans="1:6" ht="15.75" thickBot="1" x14ac:dyDescent="0.3">
      <c r="E14" s="41" t="str">
        <f>NO</f>
        <v>Nein</v>
      </c>
      <c r="F14" s="41" t="str">
        <f>IF(Language_chosen=0,"Nein","No")</f>
        <v>Nein</v>
      </c>
    </row>
    <row r="21" spans="6:6" x14ac:dyDescent="0.25">
      <c r="F21"/>
    </row>
    <row r="22" spans="6:6" x14ac:dyDescent="0.25">
      <c r="F22"/>
    </row>
    <row r="23" spans="6:6" x14ac:dyDescent="0.25">
      <c r="F23"/>
    </row>
    <row r="24" spans="6:6" x14ac:dyDescent="0.25">
      <c r="F24"/>
    </row>
    <row r="25" spans="6:6" x14ac:dyDescent="0.25">
      <c r="F25"/>
    </row>
    <row r="26" spans="6:6" x14ac:dyDescent="0.25">
      <c r="F26"/>
    </row>
    <row r="27" spans="6:6" x14ac:dyDescent="0.25">
      <c r="F27"/>
    </row>
    <row r="28" spans="6:6" x14ac:dyDescent="0.25">
      <c r="F28"/>
    </row>
    <row r="29" spans="6:6" x14ac:dyDescent="0.25">
      <c r="F29"/>
    </row>
    <row r="49" spans="1:2" ht="21" x14ac:dyDescent="0.35">
      <c r="A49" s="8" t="s">
        <v>480</v>
      </c>
    </row>
    <row r="51" spans="1:2" ht="15.75" thickBot="1" x14ac:dyDescent="0.3"/>
    <row r="52" spans="1:2" ht="15.75" thickBot="1" x14ac:dyDescent="0.3">
      <c r="B52" s="56" t="s">
        <v>182</v>
      </c>
    </row>
    <row r="53" spans="1:2" ht="15.75" thickBot="1" x14ac:dyDescent="0.3">
      <c r="B53" s="41" t="str">
        <f>VLOOKUP(6032,LANGUAGE_DB,2)</f>
        <v>FMEA bereinigen für nur relevante Szenarien und Drucker Einstellungen?</v>
      </c>
    </row>
    <row r="54" spans="1:2" ht="15.75" thickBot="1" x14ac:dyDescent="0.3">
      <c r="B54" s="55" t="str">
        <f>VLOOKUP(6033,LANGUAGE_DB,2)</f>
        <v>FMEA wird nicht bereinigt.</v>
      </c>
    </row>
    <row r="55" spans="1:2" ht="15.75" thickBot="1" x14ac:dyDescent="0.3">
      <c r="B55" s="41" t="str">
        <f>VLOOKUP(6036,LANGUAGE_DB,2)</f>
        <v>alle manuell eingetragen Zellen in FMEA wirklich löschen?</v>
      </c>
    </row>
    <row r="56" spans="1:2" ht="15.75" thickBot="1" x14ac:dyDescent="0.3">
      <c r="B56" s="32" t="str">
        <f>VLOOKUP(6037,LANGUAGE_DB,2)</f>
        <v>Zellen werden nicht gelöscht.</v>
      </c>
    </row>
    <row r="57" spans="1:2" ht="15.75" thickBot="1" x14ac:dyDescent="0.3">
      <c r="B57" s="32"/>
    </row>
    <row r="58" spans="1:2" ht="15.75" thickBot="1" x14ac:dyDescent="0.3"/>
    <row r="59" spans="1:2" ht="15.75" thickBot="1" x14ac:dyDescent="0.3">
      <c r="B59" s="56" t="s">
        <v>397</v>
      </c>
    </row>
    <row r="60" spans="1:2" ht="15.75" thickBot="1" x14ac:dyDescent="0.3">
      <c r="B60" s="41" t="str">
        <f>VLOOKUP(7002,LANGUAGE_DB,2)</f>
        <v>nicht akzeptierte FMEA Risiken übertragen?</v>
      </c>
    </row>
    <row r="61" spans="1:2" ht="15.75" thickBot="1" x14ac:dyDescent="0.3">
      <c r="B61" s="41" t="str">
        <f>VLOOKUP(7003,LANGUAGE_DB,2)</f>
        <v>Risiken werden nicht übertragen.</v>
      </c>
    </row>
    <row r="62" spans="1:2" ht="15.75" thickBot="1" x14ac:dyDescent="0.3">
      <c r="B62" s="41" t="str">
        <f>VLOOKUP(7005,LANGUAGE_DB,2)</f>
        <v>alle Einträge in MEHARI löschen?</v>
      </c>
    </row>
    <row r="63" spans="1:2" ht="15.75" thickBot="1" x14ac:dyDescent="0.3">
      <c r="B63" s="41" t="str">
        <f>VLOOKUP(7006,LANGUAGE_DB,2)</f>
        <v>Zellen werden nicht gelöscht.</v>
      </c>
    </row>
    <row r="64" spans="1:2" ht="15.75" thickBot="1" x14ac:dyDescent="0.3">
      <c r="B64" s="41" t="str">
        <f>VLOOKUP(7009,LANGUAGE_DB,2)</f>
        <v>MEHARI bereinigen für nur relevante Szenarien und Drucker Einstellungen?</v>
      </c>
    </row>
    <row r="65" spans="2:2" ht="15.75" thickBot="1" x14ac:dyDescent="0.3">
      <c r="B65" s="41" t="str">
        <f>VLOOKUP(7010,LANGUAGE_DB,2)</f>
        <v>MEHARI wird nicht bereinigt.</v>
      </c>
    </row>
    <row r="66" spans="2:2" ht="15.75" thickBot="1" x14ac:dyDescent="0.3">
      <c r="B66" s="41"/>
    </row>
    <row r="69" spans="2:2" ht="15.75" thickBot="1" x14ac:dyDescent="0.3"/>
    <row r="70" spans="2:2" ht="15.75" thickBot="1" x14ac:dyDescent="0.3">
      <c r="B70" s="56" t="s">
        <v>430</v>
      </c>
    </row>
    <row r="71" spans="2:2" ht="15.75" thickBot="1" x14ac:dyDescent="0.3">
      <c r="B71" s="41" t="s">
        <v>153</v>
      </c>
    </row>
    <row r="72" spans="2:2" ht="15.75" thickBot="1" x14ac:dyDescent="0.3">
      <c r="B72" s="41" t="s">
        <v>340</v>
      </c>
    </row>
    <row r="73" spans="2:2" ht="15.75" thickBot="1" x14ac:dyDescent="0.3">
      <c r="B73" s="41" t="str">
        <f>VLOOKUP(1013,LANGUAGE_DB,2,FALSE)</f>
        <v>globale Einstellungen</v>
      </c>
    </row>
    <row r="74" spans="2:2" ht="15.75" thickBot="1" x14ac:dyDescent="0.3">
      <c r="B74" s="41" t="str">
        <f>VLOOKUP(1014,LANGUAGE_DB,2,FALSE)</f>
        <v>für Drucken vorbereiten</v>
      </c>
    </row>
    <row r="75" spans="2:2" ht="15.75" thickBot="1" x14ac:dyDescent="0.3">
      <c r="B75" s="41" t="str">
        <f>VLOOKUP(1015,LANGUAGE_DB,2,FALSE)</f>
        <v>change language</v>
      </c>
    </row>
    <row r="76" spans="2:2" ht="15.75" thickBot="1" x14ac:dyDescent="0.3">
      <c r="B76" s="41" t="str">
        <f>VLOOKUP(1016,LANGUAGE_DB,2,FALSE)</f>
        <v>Filter zurücksetzten</v>
      </c>
    </row>
    <row r="77" spans="2:2" ht="15.75" thickBot="1" x14ac:dyDescent="0.3">
      <c r="B77" s="41" t="str">
        <f>VLOOKUP(1017,LANGUAGE_DB,2,FALSE)</f>
        <v>Alle manuellen Daten zurücksetzten</v>
      </c>
    </row>
    <row r="78" spans="2:2" ht="15.75" thickBot="1" x14ac:dyDescent="0.3">
      <c r="B78" s="41" t="str">
        <f>VLOOKUP(1018,LANGUAGE_DB,2,FALSE)</f>
        <v>zu hohe Risiken von FMEA übernehmen</v>
      </c>
    </row>
    <row r="79" spans="2:2" ht="15.75" thickBot="1" x14ac:dyDescent="0.3">
      <c r="B79" s="41" t="str">
        <f>VLOOKUP(1019,LANGUAGE_DB,2,FALSE)</f>
        <v>gehe zu</v>
      </c>
    </row>
    <row r="80" spans="2:2" ht="15.75" thickBot="1" x14ac:dyDescent="0.3">
      <c r="B80" s="41" t="str">
        <f>VLOOKUP(1020,LANGUAGE_DB,2,FALSE)</f>
        <v>Tabelle</v>
      </c>
    </row>
    <row r="81" spans="2:2" ht="15.75" thickBot="1" x14ac:dyDescent="0.3">
      <c r="B81" s="32" t="str">
        <f>VLOOKUP(6006,LANGUAGE_DB,2)</f>
        <v>FMEA Risiko Matrix</v>
      </c>
    </row>
    <row r="82" spans="2:2" ht="15.75" thickBot="1" x14ac:dyDescent="0.3">
      <c r="B82" s="32" t="str">
        <f>VLOOKUP(7011,LANGUAGE_DB,2)</f>
        <v>MEAHRI Risiko Matrix</v>
      </c>
    </row>
    <row r="83" spans="2:2" ht="15.75" thickBot="1" x14ac:dyDescent="0.3">
      <c r="B83" s="32" t="str">
        <f>VLOOKUP(5006,LANGUAGE_DB,2)</f>
        <v>FMEA Bewertungsskala</v>
      </c>
    </row>
    <row r="84" spans="2:2" ht="15.75" thickBot="1" x14ac:dyDescent="0.3">
      <c r="B84" s="32" t="str">
        <f>VLOOKUP(6038,LANGUAGE_DB,2)</f>
        <v>FMEA Datenblatt</v>
      </c>
    </row>
    <row r="85" spans="2:2" ht="15.75" thickBot="1" x14ac:dyDescent="0.3">
      <c r="B85" s="32" t="str">
        <f>VLOOKUP(7013,LANGUAGE_DB,2)</f>
        <v>MEHARI Datenblatt</v>
      </c>
    </row>
    <row r="86" spans="2:2" ht="15.75" thickBot="1" x14ac:dyDescent="0.3">
      <c r="B86" s="32" t="str">
        <f>VLOOKUP(5017,LANGUAGE_DB,2)</f>
        <v>zeige/verstecke globale Einstellungs-Tabellen</v>
      </c>
    </row>
    <row r="87" spans="2:2" ht="15.75" thickBot="1" x14ac:dyDescent="0.3">
      <c r="B87" s="32" t="str">
        <f>VLOOKUP(7014,LANGUAGE_DB,2)</f>
        <v>zeige/verstecke MEHARI Grid Tabelle</v>
      </c>
    </row>
    <row r="88" spans="2:2" ht="15.75" thickBot="1" x14ac:dyDescent="0.3">
      <c r="B88" s="32" t="str">
        <f>VLOOKUP(5056,LANGUAGE_DB,2)</f>
        <v>setze Kopf- und Fusszeilen</v>
      </c>
    </row>
    <row r="89" spans="2:2" ht="15.75" thickBot="1" x14ac:dyDescent="0.3">
      <c r="B89" s="32" t="str">
        <f>VLOOKUP(5058,LANGUAGE_DB,2)</f>
        <v>Speiche als PDF (ohne DB)</v>
      </c>
    </row>
    <row r="90" spans="2:2" ht="15.75" thickBot="1" x14ac:dyDescent="0.3">
      <c r="B90" s="32" t="str">
        <f>VLOOKUP(5063,LANGUAGE_DB,2)</f>
        <v>Speichere als PDF (mit DB)</v>
      </c>
    </row>
    <row r="91" spans="2:2" ht="15.75" thickBot="1" x14ac:dyDescent="0.3">
      <c r="B91" s="32" t="str">
        <f>VLOOKUP(5059,LANGUAGE_DB,2)</f>
        <v>PDF Datei wurde erstellt</v>
      </c>
    </row>
    <row r="92" spans="2:2" ht="15.75" thickBot="1" x14ac:dyDescent="0.3">
      <c r="B92" s="32" t="str">
        <f>VLOOKUP(5060,LANGUAGE_DB,2)</f>
        <v>PDF Datei konnte nicht erstellt werden</v>
      </c>
    </row>
    <row r="93" spans="2:2" ht="15.75" thickBot="1" x14ac:dyDescent="0.3">
      <c r="B93" s="32" t="str">
        <f>VLOOKUP(5061,LANGUAGE_DB,2)</f>
        <v>Kopf- und Fusszeilen werden erstellt. Dies geht einige Sekunden…</v>
      </c>
    </row>
    <row r="94" spans="2:2" ht="15.75" thickBot="1" x14ac:dyDescent="0.3">
      <c r="B94" s="32" t="str">
        <f>VLOOKUP(5062,LANGUAGE_DB,2)</f>
        <v>Kopf- und Fusszeilen erfolgreich erstellt.</v>
      </c>
    </row>
    <row r="95" spans="2:2" ht="15.75" thickBot="1" x14ac:dyDescent="0.3">
      <c r="B95" s="46" t="str">
        <f>VLOOKUP(5011,LANGUAGE_DB,2)</f>
        <v>Sprache wird nun geändert auf</v>
      </c>
    </row>
    <row r="96" spans="2:2" ht="15.75" thickBot="1" x14ac:dyDescent="0.3">
      <c r="B96" s="46" t="str">
        <f>VLOOKUP(5066,LANGUAGE_DB,2)</f>
        <v>zeige/verstecke DB Tabellen</v>
      </c>
    </row>
    <row r="97" spans="2:2" ht="15.75" thickBot="1" x14ac:dyDescent="0.3">
      <c r="B97" s="282" t="str">
        <f>VLOOKUP(1022,LANGUAGE_DB,2)</f>
        <v>wenn keine Datei für das Speichern ausgewählt wird, wird das PDF automatisch in den Pfad den Excel gespeichert mit einem automatischen Namen (FALSCH)</v>
      </c>
    </row>
  </sheetData>
  <sheetProtection formatCells="0" formatColumns="0" formatRows="0" insertColumns="0" insertRows="0" insertHyperlinks="0" deleteColumns="0" deleteRows="0" sort="0" autoFilter="0" pivotTables="0"/>
  <mergeCells count="1">
    <mergeCell ref="A1:B1"/>
  </mergeCells>
  <dataValidations disablePrompts="1" count="1">
    <dataValidation type="list" allowBlank="1" showInputMessage="1" showErrorMessage="1" sqref="E2">
      <formula1>#REF!</formula1>
    </dataValidation>
  </dataValidations>
  <hyperlinks>
    <hyperlink ref="B10" r:id="rId1"/>
    <hyperlink ref="C10" r:id="rId2"/>
  </hyperlinks>
  <pageMargins left="0.7" right="0.7" top="0.78740157499999996" bottom="0.78740157499999996" header="0.3" footer="0.3"/>
  <pageSetup paperSize="9" orientation="portrait" r:id="rId3"/>
  <headerFooter scaleWithDoc="0">
    <oddHeader>&amp;LAuditor: Micha Schönenberger&amp;CTEST 1234&amp;RIoT Risk Assessment</oddHeader>
    <oddFooter>&amp;LKunde: Rolf Huber&amp;C18.07.2015&amp;RSeite &amp;P/&amp;N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9" tint="0.39997558519241921"/>
  </sheetPr>
  <dimension ref="A1:J184"/>
  <sheetViews>
    <sheetView zoomScaleNormal="100" workbookViewId="0">
      <pane ySplit="1" topLeftCell="A2" activePane="bottomLeft" state="frozen"/>
      <selection activeCell="C20" sqref="C20"/>
      <selection pane="bottomLeft" activeCell="D26" sqref="D26"/>
    </sheetView>
  </sheetViews>
  <sheetFormatPr baseColWidth="10" defaultRowHeight="15" x14ac:dyDescent="0.25"/>
  <cols>
    <col min="1" max="1" width="13.28515625" customWidth="1"/>
    <col min="2" max="2" width="69" bestFit="1" customWidth="1"/>
    <col min="3" max="3" width="60.85546875" bestFit="1" customWidth="1"/>
    <col min="4" max="4" width="57.42578125" bestFit="1" customWidth="1"/>
  </cols>
  <sheetData>
    <row r="1" spans="1:4" s="13" customFormat="1" ht="29.25" customHeight="1" thickBot="1" x14ac:dyDescent="0.3">
      <c r="A1" s="11" t="s">
        <v>17</v>
      </c>
      <c r="B1" s="11" t="s">
        <v>28</v>
      </c>
      <c r="C1" s="11" t="s">
        <v>18</v>
      </c>
      <c r="D1" s="11" t="s">
        <v>19</v>
      </c>
    </row>
    <row r="3" spans="1:4" x14ac:dyDescent="0.25">
      <c r="A3">
        <v>1000</v>
      </c>
      <c r="B3" t="str">
        <f t="shared" ref="B3:B34" si="0">IF(C3="","",IF(Language_chosen=0,C3,D3))</f>
        <v>Risiko</v>
      </c>
      <c r="C3" t="s">
        <v>20</v>
      </c>
      <c r="D3" t="s">
        <v>21</v>
      </c>
    </row>
    <row r="4" spans="1:4" x14ac:dyDescent="0.25">
      <c r="A4">
        <v>1001</v>
      </c>
      <c r="B4" t="str">
        <f t="shared" si="0"/>
        <v>Verwundbarkeit / Schwachstelle</v>
      </c>
      <c r="C4" t="s">
        <v>219</v>
      </c>
      <c r="D4" t="s">
        <v>22</v>
      </c>
    </row>
    <row r="5" spans="1:4" x14ac:dyDescent="0.25">
      <c r="A5">
        <v>1002</v>
      </c>
      <c r="B5" t="str">
        <f t="shared" si="0"/>
        <v>Auftreten</v>
      </c>
      <c r="C5" t="s">
        <v>27</v>
      </c>
      <c r="D5" t="s">
        <v>26</v>
      </c>
    </row>
    <row r="6" spans="1:4" x14ac:dyDescent="0.25">
      <c r="A6">
        <v>1003</v>
      </c>
      <c r="B6" t="str">
        <f t="shared" si="0"/>
        <v>Einstellungen</v>
      </c>
      <c r="C6" t="s">
        <v>211</v>
      </c>
      <c r="D6" t="s">
        <v>212</v>
      </c>
    </row>
    <row r="7" spans="1:4" x14ac:dyDescent="0.25">
      <c r="A7">
        <v>1004</v>
      </c>
      <c r="B7" t="str">
        <f t="shared" si="0"/>
        <v>erster Eintrag in Zeile</v>
      </c>
      <c r="C7" s="22" t="s">
        <v>213</v>
      </c>
      <c r="D7" s="22" t="s">
        <v>214</v>
      </c>
    </row>
    <row r="8" spans="1:4" x14ac:dyDescent="0.25">
      <c r="A8">
        <v>1005</v>
      </c>
      <c r="B8" t="str">
        <f t="shared" si="0"/>
        <v>Kurznummer für Liste</v>
      </c>
      <c r="C8" t="s">
        <v>215</v>
      </c>
      <c r="D8" t="s">
        <v>216</v>
      </c>
    </row>
    <row r="9" spans="1:4" x14ac:dyDescent="0.25">
      <c r="A9">
        <v>1006</v>
      </c>
      <c r="B9" t="str">
        <f t="shared" si="0"/>
        <v>Asset</v>
      </c>
      <c r="C9" t="s">
        <v>113</v>
      </c>
      <c r="D9" t="s">
        <v>113</v>
      </c>
    </row>
    <row r="10" spans="1:4" x14ac:dyDescent="0.25">
      <c r="A10">
        <v>1007</v>
      </c>
      <c r="B10" t="str">
        <f t="shared" si="0"/>
        <v>Bedrohungen</v>
      </c>
      <c r="C10" t="s">
        <v>226</v>
      </c>
      <c r="D10" t="s">
        <v>225</v>
      </c>
    </row>
    <row r="11" spans="1:4" x14ac:dyDescent="0.25">
      <c r="A11">
        <v>1008</v>
      </c>
      <c r="B11" t="str">
        <f t="shared" si="0"/>
        <v>potentielle Folgen des Fehlers</v>
      </c>
      <c r="C11" s="22" t="s">
        <v>232</v>
      </c>
      <c r="D11" s="22" t="s">
        <v>233</v>
      </c>
    </row>
    <row r="12" spans="1:4" x14ac:dyDescent="0.25">
      <c r="A12">
        <v>1009</v>
      </c>
      <c r="B12" t="str">
        <f t="shared" si="0"/>
        <v>potentielle Fehlerursache</v>
      </c>
      <c r="C12" t="s">
        <v>147</v>
      </c>
      <c r="D12" t="s">
        <v>234</v>
      </c>
    </row>
    <row r="13" spans="1:4" x14ac:dyDescent="0.25">
      <c r="A13">
        <v>1010</v>
      </c>
      <c r="B13" t="str">
        <f t="shared" si="0"/>
        <v>Vertraulichkeit</v>
      </c>
      <c r="C13" t="s">
        <v>426</v>
      </c>
      <c r="D13" t="s">
        <v>425</v>
      </c>
    </row>
    <row r="14" spans="1:4" x14ac:dyDescent="0.25">
      <c r="A14">
        <v>1011</v>
      </c>
      <c r="B14" t="str">
        <f t="shared" si="0"/>
        <v>Integrität</v>
      </c>
      <c r="C14" t="s">
        <v>427</v>
      </c>
      <c r="D14" t="s">
        <v>428</v>
      </c>
    </row>
    <row r="15" spans="1:4" x14ac:dyDescent="0.25">
      <c r="A15">
        <v>1012</v>
      </c>
      <c r="B15" t="str">
        <f t="shared" si="0"/>
        <v>Verfügbarkeit</v>
      </c>
      <c r="C15" t="s">
        <v>424</v>
      </c>
      <c r="D15" t="s">
        <v>423</v>
      </c>
    </row>
    <row r="16" spans="1:4" x14ac:dyDescent="0.25">
      <c r="A16">
        <v>1013</v>
      </c>
      <c r="B16" t="str">
        <f t="shared" si="0"/>
        <v>globale Einstellungen</v>
      </c>
      <c r="C16" t="s">
        <v>431</v>
      </c>
      <c r="D16" t="s">
        <v>432</v>
      </c>
    </row>
    <row r="17" spans="1:4" x14ac:dyDescent="0.25">
      <c r="A17">
        <v>1014</v>
      </c>
      <c r="B17" t="str">
        <f t="shared" si="0"/>
        <v>für Drucken vorbereiten</v>
      </c>
      <c r="C17" t="s">
        <v>437</v>
      </c>
      <c r="D17" t="s">
        <v>438</v>
      </c>
    </row>
    <row r="18" spans="1:4" x14ac:dyDescent="0.25">
      <c r="A18">
        <v>1015</v>
      </c>
      <c r="B18" t="str">
        <f>IF(C18="","",IF(Language_chosen=1,C18,D18))</f>
        <v>change language</v>
      </c>
      <c r="C18" t="s">
        <v>433</v>
      </c>
      <c r="D18" t="s">
        <v>434</v>
      </c>
    </row>
    <row r="19" spans="1:4" x14ac:dyDescent="0.25">
      <c r="A19">
        <v>1016</v>
      </c>
      <c r="B19" t="str">
        <f t="shared" si="0"/>
        <v>Filter zurücksetzten</v>
      </c>
      <c r="C19" t="s">
        <v>435</v>
      </c>
      <c r="D19" t="s">
        <v>436</v>
      </c>
    </row>
    <row r="20" spans="1:4" x14ac:dyDescent="0.25">
      <c r="A20">
        <v>1017</v>
      </c>
      <c r="B20" t="str">
        <f t="shared" si="0"/>
        <v>Alle manuellen Daten zurücksetzten</v>
      </c>
      <c r="C20" t="s">
        <v>439</v>
      </c>
      <c r="D20" t="s">
        <v>440</v>
      </c>
    </row>
    <row r="21" spans="1:4" x14ac:dyDescent="0.25">
      <c r="A21">
        <v>1018</v>
      </c>
      <c r="B21" t="str">
        <f t="shared" si="0"/>
        <v>zu hohe Risiken von FMEA übernehmen</v>
      </c>
      <c r="C21" t="s">
        <v>442</v>
      </c>
      <c r="D21" t="s">
        <v>443</v>
      </c>
    </row>
    <row r="22" spans="1:4" x14ac:dyDescent="0.25">
      <c r="A22">
        <v>1019</v>
      </c>
      <c r="B22" t="str">
        <f t="shared" si="0"/>
        <v>gehe zu</v>
      </c>
      <c r="C22" t="s">
        <v>444</v>
      </c>
      <c r="D22" t="s">
        <v>446</v>
      </c>
    </row>
    <row r="23" spans="1:4" x14ac:dyDescent="0.25">
      <c r="A23">
        <v>1020</v>
      </c>
      <c r="B23" t="str">
        <f t="shared" si="0"/>
        <v>Tabelle</v>
      </c>
      <c r="C23" t="s">
        <v>445</v>
      </c>
      <c r="D23" t="s">
        <v>447</v>
      </c>
    </row>
    <row r="24" spans="1:4" x14ac:dyDescent="0.25">
      <c r="A24">
        <v>1021</v>
      </c>
      <c r="B24" t="str">
        <f t="shared" si="0"/>
        <v>potentieller Fehler</v>
      </c>
      <c r="C24" t="s">
        <v>520</v>
      </c>
      <c r="D24" t="s">
        <v>521</v>
      </c>
    </row>
    <row r="25" spans="1:4" x14ac:dyDescent="0.25">
      <c r="A25">
        <v>1022</v>
      </c>
      <c r="B25" t="str">
        <f t="shared" si="0"/>
        <v>wenn keine Datei für das Speichern ausgewählt wird, wird das PDF automatisch in den Pfad den Excel gespeichert mit einem automatischen Namen (FALSCH)</v>
      </c>
      <c r="C25" t="s">
        <v>743</v>
      </c>
      <c r="D25" t="s">
        <v>744</v>
      </c>
    </row>
    <row r="26" spans="1:4" x14ac:dyDescent="0.25">
      <c r="A26">
        <v>1023</v>
      </c>
    </row>
    <row r="27" spans="1:4" x14ac:dyDescent="0.25">
      <c r="A27">
        <v>1024</v>
      </c>
      <c r="B27" t="str">
        <f t="shared" si="0"/>
        <v/>
      </c>
    </row>
    <row r="28" spans="1:4" x14ac:dyDescent="0.25">
      <c r="A28">
        <v>1025</v>
      </c>
      <c r="B28" t="str">
        <f t="shared" si="0"/>
        <v/>
      </c>
    </row>
    <row r="29" spans="1:4" x14ac:dyDescent="0.25">
      <c r="A29">
        <v>1026</v>
      </c>
      <c r="B29" t="str">
        <f t="shared" si="0"/>
        <v/>
      </c>
    </row>
    <row r="30" spans="1:4" x14ac:dyDescent="0.25">
      <c r="A30">
        <v>1027</v>
      </c>
      <c r="B30" t="str">
        <f t="shared" si="0"/>
        <v/>
      </c>
    </row>
    <row r="31" spans="1:4" x14ac:dyDescent="0.25">
      <c r="A31">
        <v>1028</v>
      </c>
      <c r="B31" t="str">
        <f t="shared" si="0"/>
        <v/>
      </c>
    </row>
    <row r="32" spans="1:4" x14ac:dyDescent="0.25">
      <c r="A32">
        <v>1029</v>
      </c>
      <c r="B32" t="str">
        <f t="shared" si="0"/>
        <v/>
      </c>
    </row>
    <row r="33" spans="1:4" x14ac:dyDescent="0.25">
      <c r="A33">
        <v>1030</v>
      </c>
      <c r="B33" t="str">
        <f t="shared" si="0"/>
        <v/>
      </c>
    </row>
    <row r="34" spans="1:4" x14ac:dyDescent="0.25">
      <c r="A34">
        <v>1031</v>
      </c>
      <c r="B34" t="str">
        <f t="shared" si="0"/>
        <v/>
      </c>
    </row>
    <row r="36" spans="1:4" ht="15.75" thickBot="1" x14ac:dyDescent="0.3"/>
    <row r="37" spans="1:4" ht="29.25" customHeight="1" thickBot="1" x14ac:dyDescent="0.3">
      <c r="A37" s="286" t="s">
        <v>23</v>
      </c>
      <c r="B37" s="287"/>
      <c r="C37" s="287"/>
      <c r="D37" s="288"/>
    </row>
    <row r="38" spans="1:4" x14ac:dyDescent="0.25">
      <c r="A38">
        <v>5000</v>
      </c>
      <c r="B38" t="str">
        <f t="shared" ref="B38:B58" si="1">IF(C38="","",IF(Language_chosen=0,C38,D38))</f>
        <v>Ja</v>
      </c>
      <c r="C38" t="s">
        <v>14</v>
      </c>
      <c r="D38" t="s">
        <v>24</v>
      </c>
    </row>
    <row r="39" spans="1:4" x14ac:dyDescent="0.25">
      <c r="A39">
        <v>5001</v>
      </c>
      <c r="B39" t="str">
        <f t="shared" si="1"/>
        <v>Nein</v>
      </c>
      <c r="C39" t="s">
        <v>15</v>
      </c>
      <c r="D39" t="s">
        <v>25</v>
      </c>
    </row>
    <row r="40" spans="1:4" x14ac:dyDescent="0.25">
      <c r="A40">
        <v>5002</v>
      </c>
      <c r="B40" t="str">
        <f t="shared" si="1"/>
        <v>unter Umständen</v>
      </c>
      <c r="C40" t="s">
        <v>16</v>
      </c>
      <c r="D40" t="s">
        <v>51</v>
      </c>
    </row>
    <row r="41" spans="1:4" x14ac:dyDescent="0.25">
      <c r="A41">
        <v>5003</v>
      </c>
      <c r="B41" t="str">
        <f t="shared" si="1"/>
        <v>Antwort</v>
      </c>
      <c r="C41" t="s">
        <v>13</v>
      </c>
      <c r="D41" t="s">
        <v>30</v>
      </c>
    </row>
    <row r="42" spans="1:4" x14ac:dyDescent="0.25">
      <c r="A42">
        <v>5004</v>
      </c>
      <c r="B42" t="str">
        <f t="shared" si="1"/>
        <v>Referenz Nummer</v>
      </c>
      <c r="C42" t="s">
        <v>31</v>
      </c>
      <c r="D42" t="s">
        <v>32</v>
      </c>
    </row>
    <row r="43" spans="1:4" x14ac:dyDescent="0.25">
      <c r="A43">
        <v>5005</v>
      </c>
      <c r="B43" t="str">
        <f t="shared" si="1"/>
        <v>Risiko-Akzeptanz in FMEA Risiko Matrix</v>
      </c>
      <c r="C43" t="s">
        <v>96</v>
      </c>
      <c r="D43" t="s">
        <v>95</v>
      </c>
    </row>
    <row r="44" spans="1:4" x14ac:dyDescent="0.25">
      <c r="A44">
        <v>5006</v>
      </c>
      <c r="B44" t="str">
        <f>IF(C44="","",IF(Language_chosen=0,C44,D44))</f>
        <v>FMEA Bewertungsskala</v>
      </c>
      <c r="C44" t="s">
        <v>526</v>
      </c>
      <c r="D44" t="s">
        <v>254</v>
      </c>
    </row>
    <row r="45" spans="1:4" x14ac:dyDescent="0.25">
      <c r="A45">
        <v>5007</v>
      </c>
      <c r="B45" t="str">
        <f t="shared" si="1"/>
        <v>Eintrittswahrscheinlichkeit</v>
      </c>
      <c r="C45" t="s">
        <v>59</v>
      </c>
      <c r="D45" t="s">
        <v>11</v>
      </c>
    </row>
    <row r="46" spans="1:4" x14ac:dyDescent="0.25">
      <c r="A46">
        <v>5008</v>
      </c>
      <c r="B46" t="str">
        <f t="shared" si="1"/>
        <v>Wertung</v>
      </c>
      <c r="C46" t="s">
        <v>63</v>
      </c>
      <c r="D46" t="s">
        <v>62</v>
      </c>
    </row>
    <row r="47" spans="1:4" x14ac:dyDescent="0.25">
      <c r="A47">
        <v>5009</v>
      </c>
      <c r="B47" t="str">
        <f t="shared" si="1"/>
        <v>Bewertung Wahrscheinlichkeit</v>
      </c>
      <c r="C47" t="s">
        <v>253</v>
      </c>
      <c r="D47" t="s">
        <v>273</v>
      </c>
    </row>
    <row r="48" spans="1:4" x14ac:dyDescent="0.25">
      <c r="A48">
        <v>5010</v>
      </c>
      <c r="B48" t="str">
        <f t="shared" si="1"/>
        <v>gültige Sprachoptionen</v>
      </c>
      <c r="C48" t="s">
        <v>163</v>
      </c>
      <c r="D48" t="s">
        <v>164</v>
      </c>
    </row>
    <row r="49" spans="1:4" x14ac:dyDescent="0.25">
      <c r="A49">
        <v>5011</v>
      </c>
      <c r="B49" t="str">
        <f t="shared" si="1"/>
        <v>Sprache wird nun geändert auf</v>
      </c>
      <c r="C49" t="s">
        <v>184</v>
      </c>
      <c r="D49" t="s">
        <v>185</v>
      </c>
    </row>
    <row r="50" spans="1:4" x14ac:dyDescent="0.25">
      <c r="A50">
        <v>5012</v>
      </c>
      <c r="B50" t="str">
        <f t="shared" si="1"/>
        <v>Beispiel für Wohnsituation</v>
      </c>
      <c r="C50" t="s">
        <v>93</v>
      </c>
      <c r="D50" t="s">
        <v>266</v>
      </c>
    </row>
    <row r="51" spans="1:4" x14ac:dyDescent="0.25">
      <c r="A51">
        <v>5013</v>
      </c>
      <c r="B51" t="str">
        <f t="shared" si="1"/>
        <v>Bewertung Schweregrad</v>
      </c>
      <c r="C51" t="s">
        <v>94</v>
      </c>
      <c r="D51" t="s">
        <v>272</v>
      </c>
    </row>
    <row r="52" spans="1:4" x14ac:dyDescent="0.25">
      <c r="A52">
        <v>5014</v>
      </c>
      <c r="B52" t="str">
        <f t="shared" si="1"/>
        <v>vordefinierte Wertung</v>
      </c>
      <c r="C52" t="s">
        <v>459</v>
      </c>
      <c r="D52" t="s">
        <v>456</v>
      </c>
    </row>
    <row r="53" spans="1:4" x14ac:dyDescent="0.25">
      <c r="A53">
        <v>5015</v>
      </c>
      <c r="B53" t="str">
        <f t="shared" si="1"/>
        <v>manuelle Wertung</v>
      </c>
      <c r="C53" t="s">
        <v>460</v>
      </c>
      <c r="D53" t="s">
        <v>457</v>
      </c>
    </row>
    <row r="54" spans="1:4" x14ac:dyDescent="0.25">
      <c r="A54">
        <v>5016</v>
      </c>
      <c r="B54" t="str">
        <f t="shared" si="1"/>
        <v>effektive Wertung</v>
      </c>
      <c r="C54" t="s">
        <v>458</v>
      </c>
      <c r="D54" t="s">
        <v>461</v>
      </c>
    </row>
    <row r="55" spans="1:4" x14ac:dyDescent="0.25">
      <c r="A55">
        <v>5017</v>
      </c>
      <c r="B55" t="str">
        <f t="shared" si="1"/>
        <v>zeige/verstecke globale Einstellungs-Tabellen</v>
      </c>
      <c r="C55" t="s">
        <v>463</v>
      </c>
      <c r="D55" t="s">
        <v>462</v>
      </c>
    </row>
    <row r="56" spans="1:4" x14ac:dyDescent="0.25">
      <c r="A56">
        <v>5018</v>
      </c>
      <c r="B56" t="str">
        <f t="shared" si="1"/>
        <v>Kopfzeile</v>
      </c>
      <c r="C56" t="s">
        <v>466</v>
      </c>
      <c r="D56" t="s">
        <v>468</v>
      </c>
    </row>
    <row r="57" spans="1:4" x14ac:dyDescent="0.25">
      <c r="A57">
        <v>5019</v>
      </c>
      <c r="B57" t="str">
        <f t="shared" si="1"/>
        <v>Fusszeile</v>
      </c>
      <c r="C57" t="s">
        <v>467</v>
      </c>
      <c r="D57" t="s">
        <v>469</v>
      </c>
    </row>
    <row r="58" spans="1:4" x14ac:dyDescent="0.25">
      <c r="A58">
        <v>5020</v>
      </c>
      <c r="B58" t="str">
        <f t="shared" si="1"/>
        <v>kein</v>
      </c>
      <c r="C58" t="s">
        <v>73</v>
      </c>
      <c r="D58" t="s">
        <v>80</v>
      </c>
    </row>
    <row r="59" spans="1:4" x14ac:dyDescent="0.25">
      <c r="A59">
        <v>5021</v>
      </c>
      <c r="B59" t="str">
        <f t="shared" ref="B59:B104" si="2">IF(C59="","",IF(Language_chosen=0,C59,D59))</f>
        <v>sehr gering</v>
      </c>
      <c r="C59" t="s">
        <v>74</v>
      </c>
      <c r="D59" t="s">
        <v>81</v>
      </c>
    </row>
    <row r="60" spans="1:4" x14ac:dyDescent="0.25">
      <c r="A60">
        <v>5022</v>
      </c>
      <c r="B60" t="str">
        <f t="shared" si="2"/>
        <v>gering</v>
      </c>
      <c r="C60" t="s">
        <v>75</v>
      </c>
      <c r="D60" t="s">
        <v>82</v>
      </c>
    </row>
    <row r="61" spans="1:4" x14ac:dyDescent="0.25">
      <c r="A61">
        <v>5023</v>
      </c>
      <c r="B61" t="str">
        <f t="shared" si="2"/>
        <v>sehr niedrig</v>
      </c>
      <c r="C61" t="s">
        <v>76</v>
      </c>
      <c r="D61" t="s">
        <v>83</v>
      </c>
    </row>
    <row r="62" spans="1:4" x14ac:dyDescent="0.25">
      <c r="A62">
        <v>5024</v>
      </c>
      <c r="B62" t="str">
        <f t="shared" si="2"/>
        <v>niedrig</v>
      </c>
      <c r="C62" t="s">
        <v>77</v>
      </c>
      <c r="D62" t="s">
        <v>84</v>
      </c>
    </row>
    <row r="63" spans="1:4" x14ac:dyDescent="0.25">
      <c r="A63">
        <v>5025</v>
      </c>
      <c r="B63" t="str">
        <f t="shared" si="2"/>
        <v>mässig</v>
      </c>
      <c r="C63" t="s">
        <v>78</v>
      </c>
      <c r="D63" t="s">
        <v>79</v>
      </c>
    </row>
    <row r="64" spans="1:4" x14ac:dyDescent="0.25">
      <c r="A64">
        <v>5026</v>
      </c>
      <c r="B64" t="str">
        <f t="shared" si="2"/>
        <v>hoch</v>
      </c>
      <c r="C64" t="s">
        <v>89</v>
      </c>
      <c r="D64" t="s">
        <v>85</v>
      </c>
    </row>
    <row r="65" spans="1:4" x14ac:dyDescent="0.25">
      <c r="A65">
        <v>5027</v>
      </c>
      <c r="B65" t="str">
        <f t="shared" si="2"/>
        <v>sehr hoch</v>
      </c>
      <c r="C65" t="s">
        <v>90</v>
      </c>
      <c r="D65" t="s">
        <v>86</v>
      </c>
    </row>
    <row r="66" spans="1:4" x14ac:dyDescent="0.25">
      <c r="A66">
        <v>5028</v>
      </c>
      <c r="B66" t="str">
        <f t="shared" si="2"/>
        <v>extreme hoch</v>
      </c>
      <c r="C66" t="s">
        <v>91</v>
      </c>
      <c r="D66" t="s">
        <v>87</v>
      </c>
    </row>
    <row r="67" spans="1:4" x14ac:dyDescent="0.25">
      <c r="A67">
        <v>5029</v>
      </c>
      <c r="B67" t="str">
        <f t="shared" si="2"/>
        <v>gefährlich hoch</v>
      </c>
      <c r="C67" t="s">
        <v>92</v>
      </c>
      <c r="D67" t="s">
        <v>88</v>
      </c>
    </row>
    <row r="68" spans="1:4" x14ac:dyDescent="0.25">
      <c r="A68">
        <v>5030</v>
      </c>
      <c r="B68" t="str">
        <f t="shared" si="2"/>
        <v>höchstens alle 50 Jahre</v>
      </c>
      <c r="C68" t="s">
        <v>60</v>
      </c>
      <c r="D68" t="s">
        <v>255</v>
      </c>
    </row>
    <row r="69" spans="1:4" x14ac:dyDescent="0.25">
      <c r="A69">
        <v>5031</v>
      </c>
      <c r="B69" t="str">
        <f t="shared" si="2"/>
        <v>einmal in 20 Jahren</v>
      </c>
      <c r="C69" t="s">
        <v>61</v>
      </c>
      <c r="D69" t="s">
        <v>257</v>
      </c>
    </row>
    <row r="70" spans="1:4" x14ac:dyDescent="0.25">
      <c r="A70">
        <v>5032</v>
      </c>
      <c r="B70" t="str">
        <f t="shared" si="2"/>
        <v>einmal in 5 Jahren</v>
      </c>
      <c r="C70" t="s">
        <v>53</v>
      </c>
      <c r="D70" t="s">
        <v>256</v>
      </c>
    </row>
    <row r="71" spans="1:4" x14ac:dyDescent="0.25">
      <c r="A71">
        <v>5033</v>
      </c>
      <c r="B71" t="str">
        <f t="shared" si="2"/>
        <v>einmal in 2 Jahren</v>
      </c>
      <c r="C71" t="s">
        <v>258</v>
      </c>
      <c r="D71" t="s">
        <v>259</v>
      </c>
    </row>
    <row r="72" spans="1:4" x14ac:dyDescent="0.25">
      <c r="A72">
        <v>5034</v>
      </c>
      <c r="B72" t="str">
        <f t="shared" si="2"/>
        <v>einmal pro Jahr</v>
      </c>
      <c r="C72" t="s">
        <v>55</v>
      </c>
      <c r="D72" t="s">
        <v>260</v>
      </c>
    </row>
    <row r="73" spans="1:4" x14ac:dyDescent="0.25">
      <c r="A73">
        <v>5035</v>
      </c>
      <c r="B73" t="str">
        <f t="shared" si="2"/>
        <v>alle 1/2 Jahre</v>
      </c>
      <c r="C73" t="s">
        <v>52</v>
      </c>
      <c r="D73" t="s">
        <v>261</v>
      </c>
    </row>
    <row r="74" spans="1:4" x14ac:dyDescent="0.25">
      <c r="A74">
        <v>5036</v>
      </c>
      <c r="B74" t="str">
        <f t="shared" si="2"/>
        <v>jedes Quartal</v>
      </c>
      <c r="C74" t="s">
        <v>54</v>
      </c>
      <c r="D74" t="s">
        <v>262</v>
      </c>
    </row>
    <row r="75" spans="1:4" x14ac:dyDescent="0.25">
      <c r="A75">
        <v>5037</v>
      </c>
      <c r="B75" t="str">
        <f t="shared" si="2"/>
        <v>einmal im Monat</v>
      </c>
      <c r="C75" t="s">
        <v>56</v>
      </c>
      <c r="D75" t="s">
        <v>263</v>
      </c>
    </row>
    <row r="76" spans="1:4" x14ac:dyDescent="0.25">
      <c r="A76">
        <v>5038</v>
      </c>
      <c r="B76" t="str">
        <f t="shared" si="2"/>
        <v>mehrmals im Monat</v>
      </c>
      <c r="C76" t="s">
        <v>57</v>
      </c>
      <c r="D76" t="s">
        <v>264</v>
      </c>
    </row>
    <row r="77" spans="1:4" x14ac:dyDescent="0.25">
      <c r="A77">
        <v>5039</v>
      </c>
      <c r="B77" t="str">
        <f t="shared" si="2"/>
        <v>täglich</v>
      </c>
      <c r="C77" t="s">
        <v>58</v>
      </c>
      <c r="D77" t="s">
        <v>265</v>
      </c>
    </row>
    <row r="78" spans="1:4" x14ac:dyDescent="0.25">
      <c r="A78">
        <v>5040</v>
      </c>
      <c r="B78" t="str">
        <f t="shared" si="2"/>
        <v>kein merkbarer Einfluss auf die Wohnqualität</v>
      </c>
      <c r="C78" t="s">
        <v>582</v>
      </c>
      <c r="D78" t="s">
        <v>581</v>
      </c>
    </row>
    <row r="79" spans="1:4" x14ac:dyDescent="0.25">
      <c r="A79">
        <v>5041</v>
      </c>
      <c r="B79" t="str">
        <f t="shared" si="2"/>
        <v>sehr geringerr Einfluss auf die Wohnqualität</v>
      </c>
      <c r="C79" t="s">
        <v>583</v>
      </c>
      <c r="D79" t="s">
        <v>584</v>
      </c>
    </row>
    <row r="80" spans="1:4" x14ac:dyDescent="0.25">
      <c r="A80">
        <v>5042</v>
      </c>
      <c r="B80" t="str">
        <f t="shared" si="2"/>
        <v>kleiner merkbarer Einfluss auf di Wohnqualität</v>
      </c>
      <c r="C80" t="s">
        <v>585</v>
      </c>
      <c r="D80" t="s">
        <v>586</v>
      </c>
    </row>
    <row r="81" spans="1:4" x14ac:dyDescent="0.25">
      <c r="A81">
        <v>5043</v>
      </c>
      <c r="B81" t="str">
        <f t="shared" si="2"/>
        <v>technische Einschränkungen der Wohnqualität spürbar</v>
      </c>
      <c r="C81" t="s">
        <v>587</v>
      </c>
      <c r="D81" t="s">
        <v>268</v>
      </c>
    </row>
    <row r="82" spans="1:4" x14ac:dyDescent="0.25">
      <c r="A82">
        <v>5044</v>
      </c>
      <c r="B82" t="str">
        <f t="shared" si="2"/>
        <v>Wohnen mit einzelnen technischen Einschränkungen möglich</v>
      </c>
      <c r="C82" t="s">
        <v>588</v>
      </c>
      <c r="D82" t="s">
        <v>269</v>
      </c>
    </row>
    <row r="83" spans="1:4" x14ac:dyDescent="0.25">
      <c r="A83">
        <v>5045</v>
      </c>
      <c r="B83" t="str">
        <f t="shared" si="2"/>
        <v>Wohnen mit technischen Einschränkungen möglich</v>
      </c>
      <c r="C83" t="s">
        <v>589</v>
      </c>
      <c r="D83" t="s">
        <v>270</v>
      </c>
    </row>
    <row r="84" spans="1:4" x14ac:dyDescent="0.25">
      <c r="A84">
        <v>5046</v>
      </c>
      <c r="B84" t="str">
        <f t="shared" si="2"/>
        <v>Wohnen mit grossen Einschränkungen möglich</v>
      </c>
      <c r="C84" t="s">
        <v>287</v>
      </c>
      <c r="D84" t="s">
        <v>271</v>
      </c>
    </row>
    <row r="85" spans="1:4" x14ac:dyDescent="0.25">
      <c r="A85">
        <v>5047</v>
      </c>
      <c r="B85" t="str">
        <f t="shared" si="2"/>
        <v>Wohnen mit sehr grossen Einschränkungen möglich</v>
      </c>
      <c r="C85" t="s">
        <v>286</v>
      </c>
      <c r="D85" t="s">
        <v>267</v>
      </c>
    </row>
    <row r="86" spans="1:4" x14ac:dyDescent="0.25">
      <c r="A86">
        <v>5048</v>
      </c>
      <c r="B86" t="str">
        <f t="shared" si="2"/>
        <v>Wohnen für Stunden bis Tage nicht zumutbar</v>
      </c>
      <c r="C86" t="s">
        <v>592</v>
      </c>
      <c r="D86" t="s">
        <v>288</v>
      </c>
    </row>
    <row r="87" spans="1:4" x14ac:dyDescent="0.25">
      <c r="A87">
        <v>5049</v>
      </c>
      <c r="B87" t="str">
        <f t="shared" si="2"/>
        <v>Wohnen für längere Zeit nicht mehr zumutbar</v>
      </c>
      <c r="C87" t="s">
        <v>590</v>
      </c>
      <c r="D87" t="s">
        <v>591</v>
      </c>
    </row>
    <row r="88" spans="1:4" x14ac:dyDescent="0.25">
      <c r="A88">
        <v>5050</v>
      </c>
      <c r="B88" t="str">
        <f t="shared" si="2"/>
        <v>links</v>
      </c>
      <c r="C88" t="s">
        <v>470</v>
      </c>
      <c r="D88" t="s">
        <v>472</v>
      </c>
    </row>
    <row r="89" spans="1:4" x14ac:dyDescent="0.25">
      <c r="A89">
        <v>5051</v>
      </c>
      <c r="B89" t="str">
        <f t="shared" si="2"/>
        <v>rechts</v>
      </c>
      <c r="C89" t="s">
        <v>471</v>
      </c>
      <c r="D89" t="s">
        <v>473</v>
      </c>
    </row>
    <row r="90" spans="1:4" x14ac:dyDescent="0.25">
      <c r="A90">
        <v>5052</v>
      </c>
      <c r="B90" t="str">
        <f t="shared" si="2"/>
        <v>Kundenangaben</v>
      </c>
      <c r="C90" t="s">
        <v>161</v>
      </c>
      <c r="D90" t="s">
        <v>474</v>
      </c>
    </row>
    <row r="91" spans="1:4" x14ac:dyDescent="0.25">
      <c r="A91">
        <v>5053</v>
      </c>
      <c r="B91" t="str">
        <f t="shared" si="2"/>
        <v>Seite</v>
      </c>
      <c r="C91" t="s">
        <v>478</v>
      </c>
      <c r="D91" t="s">
        <v>479</v>
      </c>
    </row>
    <row r="92" spans="1:4" x14ac:dyDescent="0.25">
      <c r="A92">
        <v>5054</v>
      </c>
      <c r="B92" t="str">
        <f t="shared" si="2"/>
        <v>IoT Risk Assessment</v>
      </c>
      <c r="C92" t="s">
        <v>485</v>
      </c>
      <c r="D92" t="s">
        <v>485</v>
      </c>
    </row>
    <row r="93" spans="1:4" x14ac:dyDescent="0.25">
      <c r="A93">
        <v>5055</v>
      </c>
      <c r="B93" t="str">
        <f t="shared" si="2"/>
        <v>Kunde</v>
      </c>
      <c r="C93" t="s">
        <v>481</v>
      </c>
      <c r="D93" t="s">
        <v>482</v>
      </c>
    </row>
    <row r="94" spans="1:4" x14ac:dyDescent="0.25">
      <c r="A94">
        <v>5056</v>
      </c>
      <c r="B94" t="str">
        <f t="shared" si="2"/>
        <v>setze Kopf- und Fusszeilen</v>
      </c>
      <c r="C94" t="s">
        <v>483</v>
      </c>
      <c r="D94" t="s">
        <v>484</v>
      </c>
    </row>
    <row r="95" spans="1:4" x14ac:dyDescent="0.25">
      <c r="A95">
        <v>5057</v>
      </c>
      <c r="B95" t="str">
        <f t="shared" si="2"/>
        <v>mittig</v>
      </c>
      <c r="C95" t="s">
        <v>486</v>
      </c>
      <c r="D95" t="s">
        <v>487</v>
      </c>
    </row>
    <row r="96" spans="1:4" x14ac:dyDescent="0.25">
      <c r="A96">
        <v>5058</v>
      </c>
      <c r="B96" t="str">
        <f t="shared" si="2"/>
        <v>Speiche als PDF (ohne DB)</v>
      </c>
      <c r="C96" t="s">
        <v>505</v>
      </c>
      <c r="D96" t="s">
        <v>504</v>
      </c>
    </row>
    <row r="97" spans="1:4" x14ac:dyDescent="0.25">
      <c r="A97">
        <v>5059</v>
      </c>
      <c r="B97" t="str">
        <f t="shared" si="2"/>
        <v>PDF Datei wurde erstellt</v>
      </c>
      <c r="C97" t="s">
        <v>495</v>
      </c>
      <c r="D97" t="s">
        <v>494</v>
      </c>
    </row>
    <row r="98" spans="1:4" x14ac:dyDescent="0.25">
      <c r="A98">
        <v>5060</v>
      </c>
      <c r="B98" t="str">
        <f t="shared" si="2"/>
        <v>PDF Datei konnte nicht erstellt werden</v>
      </c>
      <c r="C98" t="s">
        <v>497</v>
      </c>
      <c r="D98" t="s">
        <v>496</v>
      </c>
    </row>
    <row r="99" spans="1:4" x14ac:dyDescent="0.25">
      <c r="A99">
        <v>5061</v>
      </c>
      <c r="B99" t="str">
        <f t="shared" si="2"/>
        <v>Kopf- und Fusszeilen werden erstellt. Dies geht einige Sekunden…</v>
      </c>
      <c r="C99" t="s">
        <v>500</v>
      </c>
      <c r="D99" t="s">
        <v>499</v>
      </c>
    </row>
    <row r="100" spans="1:4" x14ac:dyDescent="0.25">
      <c r="A100">
        <v>5062</v>
      </c>
      <c r="B100" t="str">
        <f t="shared" si="2"/>
        <v>Kopf- und Fusszeilen erfolgreich erstellt.</v>
      </c>
      <c r="C100" t="s">
        <v>501</v>
      </c>
      <c r="D100" t="s">
        <v>498</v>
      </c>
    </row>
    <row r="101" spans="1:4" x14ac:dyDescent="0.25">
      <c r="A101">
        <v>5063</v>
      </c>
      <c r="B101" t="str">
        <f t="shared" si="2"/>
        <v>Speichere als PDF (mit DB)</v>
      </c>
      <c r="C101" t="s">
        <v>502</v>
      </c>
      <c r="D101" t="s">
        <v>503</v>
      </c>
    </row>
    <row r="102" spans="1:4" x14ac:dyDescent="0.25">
      <c r="A102">
        <v>5064</v>
      </c>
      <c r="B102" t="str">
        <f t="shared" si="2"/>
        <v>erster  Eintrag in Zeile</v>
      </c>
      <c r="C102" t="s">
        <v>508</v>
      </c>
      <c r="D102" t="s">
        <v>214</v>
      </c>
    </row>
    <row r="103" spans="1:4" x14ac:dyDescent="0.25">
      <c r="A103">
        <v>5065</v>
      </c>
      <c r="B103" t="str">
        <f t="shared" si="2"/>
        <v>letzter  Eintrag in Zeile</v>
      </c>
      <c r="C103" t="s">
        <v>506</v>
      </c>
      <c r="D103" t="s">
        <v>507</v>
      </c>
    </row>
    <row r="104" spans="1:4" x14ac:dyDescent="0.25">
      <c r="A104">
        <v>5066</v>
      </c>
      <c r="B104" t="str">
        <f t="shared" si="2"/>
        <v>zeige/verstecke DB Tabellen</v>
      </c>
      <c r="C104" t="s">
        <v>712</v>
      </c>
      <c r="D104" t="s">
        <v>713</v>
      </c>
    </row>
    <row r="108" spans="1:4" ht="15.75" thickBot="1" x14ac:dyDescent="0.3"/>
    <row r="109" spans="1:4" ht="29.25" customHeight="1" thickBot="1" x14ac:dyDescent="0.3">
      <c r="A109" s="286" t="s">
        <v>43</v>
      </c>
      <c r="B109" s="287"/>
      <c r="C109" s="287"/>
      <c r="D109" s="288"/>
    </row>
    <row r="110" spans="1:4" x14ac:dyDescent="0.25">
      <c r="A110">
        <v>6000</v>
      </c>
      <c r="B110" t="str">
        <f t="shared" ref="B110:B149" si="3">IF(C110="","",IF(Language_chosen=0,C110,D110))</f>
        <v>Nummer</v>
      </c>
      <c r="C110" s="14" t="s">
        <v>37</v>
      </c>
      <c r="D110" s="12" t="s">
        <v>518</v>
      </c>
    </row>
    <row r="111" spans="1:4" x14ac:dyDescent="0.25">
      <c r="A111">
        <v>6001</v>
      </c>
      <c r="B111" t="str">
        <f t="shared" si="3"/>
        <v>Risiko akzeptiert</v>
      </c>
      <c r="C111" s="14" t="s">
        <v>390</v>
      </c>
      <c r="D111" s="14" t="s">
        <v>391</v>
      </c>
    </row>
    <row r="112" spans="1:4" x14ac:dyDescent="0.25">
      <c r="A112">
        <v>6002</v>
      </c>
      <c r="B112" t="str">
        <f t="shared" si="3"/>
        <v>betrifft Funktion / Asset</v>
      </c>
      <c r="C112" s="14" t="s">
        <v>236</v>
      </c>
      <c r="D112" s="14" t="s">
        <v>237</v>
      </c>
    </row>
    <row r="113" spans="1:10" x14ac:dyDescent="0.25">
      <c r="A113">
        <v>6003</v>
      </c>
      <c r="B113" t="str">
        <f t="shared" si="3"/>
        <v>Bemerkungen</v>
      </c>
      <c r="C113" s="14" t="s">
        <v>120</v>
      </c>
      <c r="D113" s="14" t="s">
        <v>143</v>
      </c>
    </row>
    <row r="114" spans="1:10" x14ac:dyDescent="0.25">
      <c r="A114">
        <v>6004</v>
      </c>
      <c r="B114" t="str">
        <f t="shared" si="3"/>
        <v>pot. Folgen des Fehlers</v>
      </c>
      <c r="C114" s="14" t="s">
        <v>0</v>
      </c>
      <c r="D114" s="14" t="s">
        <v>36</v>
      </c>
    </row>
    <row r="115" spans="1:10" x14ac:dyDescent="0.25">
      <c r="A115">
        <v>6005</v>
      </c>
      <c r="B115" t="str">
        <f t="shared" si="3"/>
        <v>potentielle Fehler (herbeigeführt durch Bedrohung / Gefahr)</v>
      </c>
      <c r="C115" s="14" t="s">
        <v>244</v>
      </c>
      <c r="D115" s="14" t="s">
        <v>245</v>
      </c>
    </row>
    <row r="116" spans="1:10" x14ac:dyDescent="0.25">
      <c r="A116">
        <v>6006</v>
      </c>
      <c r="B116" t="str">
        <f t="shared" si="3"/>
        <v>FMEA Risiko Matrix</v>
      </c>
      <c r="C116" s="14" t="s">
        <v>131</v>
      </c>
      <c r="D116" s="14" t="s">
        <v>448</v>
      </c>
    </row>
    <row r="117" spans="1:10" x14ac:dyDescent="0.25">
      <c r="A117">
        <v>6007</v>
      </c>
      <c r="B117" t="str">
        <f t="shared" si="3"/>
        <v>vorgesehene Prüfmassnahmen</v>
      </c>
      <c r="C117" s="14" t="s">
        <v>35</v>
      </c>
      <c r="D117" s="14" t="s">
        <v>38</v>
      </c>
    </row>
    <row r="118" spans="1:10" x14ac:dyDescent="0.25">
      <c r="A118">
        <v>6008</v>
      </c>
      <c r="B118" t="str">
        <f t="shared" si="3"/>
        <v>Auftrittshäufigkeit</v>
      </c>
      <c r="C118" s="14" t="s">
        <v>138</v>
      </c>
      <c r="D118" s="14" t="s">
        <v>139</v>
      </c>
    </row>
    <row r="119" spans="1:10" x14ac:dyDescent="0.25">
      <c r="A119">
        <v>6009</v>
      </c>
      <c r="B119" t="str">
        <f t="shared" si="3"/>
        <v>Schweregrad</v>
      </c>
      <c r="C119" s="14" t="s">
        <v>34</v>
      </c>
      <c r="D119" s="14" t="s">
        <v>33</v>
      </c>
    </row>
    <row r="120" spans="1:10" x14ac:dyDescent="0.25">
      <c r="A120">
        <v>6010</v>
      </c>
      <c r="B120" t="str">
        <f t="shared" si="3"/>
        <v>Entdeckbarkeit</v>
      </c>
      <c r="C120" s="14" t="s">
        <v>40</v>
      </c>
      <c r="D120" s="14" t="s">
        <v>39</v>
      </c>
    </row>
    <row r="121" spans="1:10" x14ac:dyDescent="0.25">
      <c r="A121">
        <v>6011</v>
      </c>
      <c r="B121" t="str">
        <f t="shared" si="3"/>
        <v>Risiko-Prioritäts-Zahl</v>
      </c>
      <c r="C121" s="14" t="s">
        <v>10</v>
      </c>
      <c r="D121" s="14" t="s">
        <v>41</v>
      </c>
      <c r="J121" s="14"/>
    </row>
    <row r="122" spans="1:10" x14ac:dyDescent="0.25">
      <c r="A122">
        <v>6012</v>
      </c>
      <c r="B122" t="str">
        <f t="shared" si="3"/>
        <v>potentielle Fehlerursache</v>
      </c>
      <c r="C122" s="14" t="s">
        <v>147</v>
      </c>
      <c r="D122" s="14" t="s">
        <v>235</v>
      </c>
    </row>
    <row r="123" spans="1:10" x14ac:dyDescent="0.25">
      <c r="A123">
        <v>6013</v>
      </c>
      <c r="B123" t="str">
        <f t="shared" si="3"/>
        <v>getroffene Massnahme</v>
      </c>
      <c r="C123" s="14" t="s">
        <v>1</v>
      </c>
      <c r="D123" s="14" t="s">
        <v>42</v>
      </c>
    </row>
    <row r="124" spans="1:10" x14ac:dyDescent="0.25">
      <c r="A124">
        <v>6014</v>
      </c>
      <c r="B124" t="str">
        <f t="shared" si="3"/>
        <v>Bewertung</v>
      </c>
      <c r="C124" s="14" t="s">
        <v>2</v>
      </c>
      <c r="D124" s="14" t="s">
        <v>45</v>
      </c>
    </row>
    <row r="125" spans="1:10" x14ac:dyDescent="0.25">
      <c r="A125">
        <v>6015</v>
      </c>
      <c r="B125" t="str">
        <f t="shared" si="3"/>
        <v>Neue Bewertung</v>
      </c>
      <c r="C125" s="14" t="s">
        <v>44</v>
      </c>
      <c r="D125" s="14" t="s">
        <v>46</v>
      </c>
    </row>
    <row r="126" spans="1:10" x14ac:dyDescent="0.25">
      <c r="A126">
        <v>6016</v>
      </c>
      <c r="B126" t="str">
        <f t="shared" si="3"/>
        <v>Empfehlung / Kontrolle</v>
      </c>
      <c r="C126" s="14" t="s">
        <v>3</v>
      </c>
      <c r="D126" s="14" t="s">
        <v>47</v>
      </c>
      <c r="E126" s="14"/>
    </row>
    <row r="127" spans="1:10" x14ac:dyDescent="0.25">
      <c r="A127">
        <v>6017</v>
      </c>
      <c r="B127" t="str">
        <f t="shared" si="3"/>
        <v>derzeitige Zustand</v>
      </c>
      <c r="C127" s="14" t="s">
        <v>49</v>
      </c>
      <c r="D127" s="14" t="s">
        <v>48</v>
      </c>
      <c r="E127" s="14"/>
    </row>
    <row r="128" spans="1:10" x14ac:dyDescent="0.25">
      <c r="A128">
        <v>6018</v>
      </c>
      <c r="B128" t="str">
        <f t="shared" si="3"/>
        <v>Verbesserter Zustand</v>
      </c>
      <c r="C128" s="14" t="s">
        <v>4</v>
      </c>
      <c r="D128" s="14" t="s">
        <v>50</v>
      </c>
    </row>
    <row r="129" spans="1:4" x14ac:dyDescent="0.25">
      <c r="A129">
        <v>6019</v>
      </c>
      <c r="B129" t="str">
        <f t="shared" si="3"/>
        <v>Fragen</v>
      </c>
      <c r="C129" s="14" t="s">
        <v>65</v>
      </c>
      <c r="D129" s="14" t="s">
        <v>66</v>
      </c>
    </row>
    <row r="130" spans="1:4" x14ac:dyDescent="0.25">
      <c r="A130">
        <v>6020</v>
      </c>
      <c r="B130" t="str">
        <f t="shared" si="3"/>
        <v>Entscheidungen</v>
      </c>
      <c r="C130" s="14" t="s">
        <v>67</v>
      </c>
      <c r="D130" s="14" t="s">
        <v>68</v>
      </c>
    </row>
    <row r="131" spans="1:4" x14ac:dyDescent="0.25">
      <c r="A131">
        <v>6021</v>
      </c>
      <c r="B131" t="str">
        <f t="shared" si="3"/>
        <v>Risiko Erhöhung</v>
      </c>
      <c r="C131" s="14" t="s">
        <v>69</v>
      </c>
      <c r="D131" s="14" t="s">
        <v>70</v>
      </c>
    </row>
    <row r="132" spans="1:4" x14ac:dyDescent="0.25">
      <c r="A132">
        <v>6022</v>
      </c>
      <c r="B132" t="str">
        <f t="shared" si="3"/>
        <v>Risiko Minimierung</v>
      </c>
      <c r="C132" s="14" t="s">
        <v>72</v>
      </c>
      <c r="D132" s="14" t="s">
        <v>71</v>
      </c>
    </row>
    <row r="133" spans="1:4" x14ac:dyDescent="0.25">
      <c r="A133">
        <v>6023</v>
      </c>
      <c r="B133" t="str">
        <f t="shared" si="3"/>
        <v>FMEA Risiko Matrix</v>
      </c>
      <c r="C133" s="14" t="s">
        <v>131</v>
      </c>
      <c r="D133" s="14" t="s">
        <v>130</v>
      </c>
    </row>
    <row r="134" spans="1:4" x14ac:dyDescent="0.25">
      <c r="A134">
        <v>6024</v>
      </c>
      <c r="B134" t="str">
        <f t="shared" si="3"/>
        <v>Matrix Titel</v>
      </c>
      <c r="C134" s="14" t="s">
        <v>133</v>
      </c>
      <c r="D134" s="14" t="s">
        <v>132</v>
      </c>
    </row>
    <row r="135" spans="1:4" x14ac:dyDescent="0.25">
      <c r="A135">
        <v>6025</v>
      </c>
      <c r="B135" t="str">
        <f t="shared" si="3"/>
        <v>X-Achse</v>
      </c>
      <c r="C135" s="14" t="s">
        <v>134</v>
      </c>
      <c r="D135" s="14" t="s">
        <v>136</v>
      </c>
    </row>
    <row r="136" spans="1:4" x14ac:dyDescent="0.25">
      <c r="A136">
        <v>6026</v>
      </c>
      <c r="B136" t="str">
        <f t="shared" si="3"/>
        <v>Y-Achse</v>
      </c>
      <c r="C136" s="14" t="s">
        <v>135</v>
      </c>
      <c r="D136" s="14" t="s">
        <v>137</v>
      </c>
    </row>
    <row r="137" spans="1:4" x14ac:dyDescent="0.25">
      <c r="A137">
        <v>6027</v>
      </c>
      <c r="B137" t="str">
        <f t="shared" si="3"/>
        <v>Titel FMEA-Formblatt</v>
      </c>
      <c r="C137" s="14" t="s">
        <v>141</v>
      </c>
      <c r="D137" s="14" t="s">
        <v>142</v>
      </c>
    </row>
    <row r="138" spans="1:4" x14ac:dyDescent="0.25">
      <c r="A138">
        <v>6028</v>
      </c>
      <c r="B138" t="str">
        <f t="shared" si="3"/>
        <v>FMEA Einstellungen</v>
      </c>
      <c r="C138" s="14" t="s">
        <v>150</v>
      </c>
      <c r="D138" s="14" t="s">
        <v>43</v>
      </c>
    </row>
    <row r="139" spans="1:4" x14ac:dyDescent="0.25">
      <c r="A139">
        <v>6029</v>
      </c>
      <c r="B139" t="str">
        <f t="shared" si="3"/>
        <v>0 = Nummer / 1 = Text</v>
      </c>
      <c r="C139" s="14" t="s">
        <v>140</v>
      </c>
      <c r="D139" s="14" t="s">
        <v>151</v>
      </c>
    </row>
    <row r="140" spans="1:4" x14ac:dyDescent="0.25">
      <c r="A140">
        <v>6030</v>
      </c>
      <c r="B140" t="str">
        <f t="shared" si="3"/>
        <v/>
      </c>
      <c r="C140" s="14"/>
      <c r="D140" s="14"/>
    </row>
    <row r="141" spans="1:4" x14ac:dyDescent="0.25">
      <c r="A141">
        <v>6031</v>
      </c>
      <c r="B141" t="str">
        <f t="shared" si="3"/>
        <v>relevant für Matrix</v>
      </c>
      <c r="C141" s="14" t="s">
        <v>169</v>
      </c>
      <c r="D141" s="14" t="s">
        <v>170</v>
      </c>
    </row>
    <row r="142" spans="1:4" ht="30" x14ac:dyDescent="0.25">
      <c r="A142">
        <v>6032</v>
      </c>
      <c r="B142" t="str">
        <f t="shared" si="3"/>
        <v>FMEA bereinigen für nur relevante Szenarien und Drucker Einstellungen?</v>
      </c>
      <c r="C142" s="14" t="s">
        <v>241</v>
      </c>
      <c r="D142" s="14" t="s">
        <v>242</v>
      </c>
    </row>
    <row r="143" spans="1:4" x14ac:dyDescent="0.25">
      <c r="A143">
        <v>6033</v>
      </c>
      <c r="B143" t="str">
        <f t="shared" si="3"/>
        <v>FMEA wird nicht bereinigt.</v>
      </c>
      <c r="C143" s="14" t="s">
        <v>173</v>
      </c>
      <c r="D143" s="14" t="s">
        <v>172</v>
      </c>
    </row>
    <row r="144" spans="1:4" x14ac:dyDescent="0.25">
      <c r="A144">
        <v>6034</v>
      </c>
      <c r="B144" t="str">
        <f t="shared" si="3"/>
        <v>letzter FMEA Eintrag in Zeile</v>
      </c>
      <c r="C144" s="14" t="s">
        <v>174</v>
      </c>
      <c r="D144" s="14" t="s">
        <v>175</v>
      </c>
    </row>
    <row r="145" spans="1:4" x14ac:dyDescent="0.25">
      <c r="A145">
        <v>6035</v>
      </c>
      <c r="B145" t="str">
        <f t="shared" si="3"/>
        <v>Spalte für das Filtern der Relevanz</v>
      </c>
      <c r="C145" s="14" t="s">
        <v>177</v>
      </c>
      <c r="D145" s="14" t="s">
        <v>176</v>
      </c>
    </row>
    <row r="146" spans="1:4" x14ac:dyDescent="0.25">
      <c r="A146">
        <v>6036</v>
      </c>
      <c r="B146" t="str">
        <f>IF(C146="","",IF(Language_chosen=0,C146,D146))</f>
        <v>alle manuell eingetragen Zellen in FMEA wirklich löschen?</v>
      </c>
      <c r="C146" s="14" t="s">
        <v>179</v>
      </c>
      <c r="D146" s="14" t="s">
        <v>178</v>
      </c>
    </row>
    <row r="147" spans="1:4" x14ac:dyDescent="0.25">
      <c r="A147">
        <v>6037</v>
      </c>
      <c r="B147" t="str">
        <f t="shared" si="3"/>
        <v>Zellen werden nicht gelöscht.</v>
      </c>
      <c r="C147" s="14" t="s">
        <v>181</v>
      </c>
      <c r="D147" s="14" t="s">
        <v>180</v>
      </c>
    </row>
    <row r="148" spans="1:4" x14ac:dyDescent="0.25">
      <c r="A148">
        <v>6038</v>
      </c>
      <c r="B148" t="str">
        <f t="shared" si="3"/>
        <v>FMEA Datenblatt</v>
      </c>
      <c r="C148" s="14" t="s">
        <v>454</v>
      </c>
      <c r="D148" s="14" t="s">
        <v>455</v>
      </c>
    </row>
    <row r="149" spans="1:4" x14ac:dyDescent="0.25">
      <c r="A149">
        <v>6039</v>
      </c>
      <c r="B149" t="str">
        <f t="shared" si="3"/>
        <v>Anzahl Duplikate</v>
      </c>
      <c r="C149" s="14" t="s">
        <v>510</v>
      </c>
      <c r="D149" s="14" t="s">
        <v>511</v>
      </c>
    </row>
    <row r="150" spans="1:4" x14ac:dyDescent="0.25">
      <c r="C150" s="14"/>
    </row>
    <row r="152" spans="1:4" ht="15.75" thickBot="1" x14ac:dyDescent="0.3"/>
    <row r="153" spans="1:4" ht="29.25" customHeight="1" thickBot="1" x14ac:dyDescent="0.3">
      <c r="A153" s="286" t="s">
        <v>341</v>
      </c>
      <c r="B153" s="287"/>
      <c r="C153" s="287"/>
      <c r="D153" s="288"/>
    </row>
    <row r="154" spans="1:4" x14ac:dyDescent="0.25">
      <c r="A154">
        <v>7000</v>
      </c>
      <c r="B154" t="str">
        <f t="shared" ref="B154:B184" si="4">IF(C154="","",IF(Language_chosen=0,C154,D154))</f>
        <v>MEHARI Risiko Matrix - ohne Massnahmen</v>
      </c>
      <c r="C154" s="14" t="s">
        <v>392</v>
      </c>
      <c r="D154" s="14" t="s">
        <v>393</v>
      </c>
    </row>
    <row r="155" spans="1:4" x14ac:dyDescent="0.25">
      <c r="A155">
        <v>7001</v>
      </c>
      <c r="B155" t="str">
        <f t="shared" si="4"/>
        <v>MEHARI Risiko Matrix - mit Massnahmen</v>
      </c>
      <c r="C155" s="14" t="s">
        <v>395</v>
      </c>
      <c r="D155" s="14" t="s">
        <v>394</v>
      </c>
    </row>
    <row r="156" spans="1:4" x14ac:dyDescent="0.25">
      <c r="A156">
        <v>7002</v>
      </c>
      <c r="B156" t="str">
        <f t="shared" si="4"/>
        <v>nicht akzeptierte FMEA Risiken übertragen?</v>
      </c>
      <c r="C156" s="14" t="s">
        <v>401</v>
      </c>
      <c r="D156" s="14" t="s">
        <v>398</v>
      </c>
    </row>
    <row r="157" spans="1:4" x14ac:dyDescent="0.25">
      <c r="A157">
        <v>7003</v>
      </c>
      <c r="B157" t="str">
        <f t="shared" si="4"/>
        <v>Risiken werden nicht übertragen.</v>
      </c>
      <c r="C157" s="14" t="s">
        <v>400</v>
      </c>
      <c r="D157" s="14" t="s">
        <v>399</v>
      </c>
    </row>
    <row r="158" spans="1:4" x14ac:dyDescent="0.25">
      <c r="A158">
        <v>7004</v>
      </c>
      <c r="B158" t="str">
        <f t="shared" si="4"/>
        <v>letzter MEHARI Eintrag in Zeile</v>
      </c>
      <c r="C158" s="14" t="s">
        <v>402</v>
      </c>
      <c r="D158" s="14" t="s">
        <v>403</v>
      </c>
    </row>
    <row r="159" spans="1:4" x14ac:dyDescent="0.25">
      <c r="A159">
        <v>7005</v>
      </c>
      <c r="B159" t="str">
        <f t="shared" si="4"/>
        <v>alle Einträge in MEHARI löschen?</v>
      </c>
      <c r="C159" s="14" t="s">
        <v>404</v>
      </c>
      <c r="D159" s="14" t="s">
        <v>405</v>
      </c>
    </row>
    <row r="160" spans="1:4" x14ac:dyDescent="0.25">
      <c r="A160">
        <v>7006</v>
      </c>
      <c r="B160" t="str">
        <f t="shared" si="4"/>
        <v>Zellen werden nicht gelöscht.</v>
      </c>
      <c r="C160" s="14" t="s">
        <v>181</v>
      </c>
      <c r="D160" s="14" t="s">
        <v>180</v>
      </c>
    </row>
    <row r="161" spans="1:4" x14ac:dyDescent="0.25">
      <c r="A161">
        <v>7007</v>
      </c>
      <c r="B161" t="str">
        <f t="shared" si="4"/>
        <v>vor Massnahmen</v>
      </c>
      <c r="C161" s="14" t="s">
        <v>406</v>
      </c>
      <c r="D161" s="14" t="s">
        <v>408</v>
      </c>
    </row>
    <row r="162" spans="1:4" x14ac:dyDescent="0.25">
      <c r="A162">
        <v>7008</v>
      </c>
      <c r="B162" t="str">
        <f t="shared" si="4"/>
        <v>nach Massnahmen</v>
      </c>
      <c r="C162" s="14" t="s">
        <v>407</v>
      </c>
      <c r="D162" s="14" t="s">
        <v>409</v>
      </c>
    </row>
    <row r="163" spans="1:4" ht="30" x14ac:dyDescent="0.25">
      <c r="A163">
        <v>7009</v>
      </c>
      <c r="B163" t="str">
        <f t="shared" si="4"/>
        <v>MEHARI bereinigen für nur relevante Szenarien und Drucker Einstellungen?</v>
      </c>
      <c r="C163" s="14" t="s">
        <v>410</v>
      </c>
      <c r="D163" s="14" t="s">
        <v>411</v>
      </c>
    </row>
    <row r="164" spans="1:4" x14ac:dyDescent="0.25">
      <c r="A164">
        <v>7010</v>
      </c>
      <c r="B164" t="str">
        <f t="shared" si="4"/>
        <v>MEHARI wird nicht bereinigt.</v>
      </c>
      <c r="C164" s="14" t="s">
        <v>413</v>
      </c>
      <c r="D164" s="14" t="s">
        <v>412</v>
      </c>
    </row>
    <row r="165" spans="1:4" x14ac:dyDescent="0.25">
      <c r="A165">
        <v>7011</v>
      </c>
      <c r="B165" t="str">
        <f t="shared" si="4"/>
        <v>MEAHRI Risiko Matrix</v>
      </c>
      <c r="C165" s="14" t="s">
        <v>449</v>
      </c>
      <c r="D165" s="14" t="s">
        <v>450</v>
      </c>
    </row>
    <row r="166" spans="1:4" x14ac:dyDescent="0.25">
      <c r="A166">
        <v>7012</v>
      </c>
      <c r="B166" t="str">
        <f t="shared" si="4"/>
        <v>MEHARI Einstellungen</v>
      </c>
      <c r="C166" s="14" t="s">
        <v>451</v>
      </c>
      <c r="D166" s="14" t="s">
        <v>341</v>
      </c>
    </row>
    <row r="167" spans="1:4" x14ac:dyDescent="0.25">
      <c r="A167">
        <v>7013</v>
      </c>
      <c r="B167" t="str">
        <f t="shared" si="4"/>
        <v>MEHARI Datenblatt</v>
      </c>
      <c r="C167" s="14" t="s">
        <v>452</v>
      </c>
      <c r="D167" s="14" t="s">
        <v>453</v>
      </c>
    </row>
    <row r="168" spans="1:4" x14ac:dyDescent="0.25">
      <c r="A168">
        <v>7014</v>
      </c>
      <c r="B168" t="str">
        <f t="shared" si="4"/>
        <v>zeige/verstecke MEHARI Grid Tabelle</v>
      </c>
      <c r="C168" s="14" t="s">
        <v>464</v>
      </c>
      <c r="D168" s="14" t="s">
        <v>465</v>
      </c>
    </row>
    <row r="169" spans="1:4" x14ac:dyDescent="0.25">
      <c r="A169">
        <v>7015</v>
      </c>
      <c r="B169" t="str">
        <f t="shared" si="4"/>
        <v>Szenario gemäss FMEA Risikos</v>
      </c>
      <c r="C169" s="14" t="s">
        <v>396</v>
      </c>
      <c r="D169" s="14" t="s">
        <v>532</v>
      </c>
    </row>
    <row r="170" spans="1:4" x14ac:dyDescent="0.25">
      <c r="A170">
        <v>7016</v>
      </c>
      <c r="B170" t="str">
        <f t="shared" si="4"/>
        <v>abschreckende Massnahme(n) DISS nach Tabelle E1</v>
      </c>
      <c r="C170" s="14" t="s">
        <v>533</v>
      </c>
      <c r="D170" s="14" t="s">
        <v>536</v>
      </c>
    </row>
    <row r="171" spans="1:4" x14ac:dyDescent="0.25">
      <c r="A171">
        <v>7017</v>
      </c>
      <c r="B171" t="str">
        <f t="shared" si="4"/>
        <v>vorbeugende Massnahme PREV nach Tabelle E1</v>
      </c>
      <c r="C171" s="14" t="s">
        <v>534</v>
      </c>
      <c r="D171" s="14" t="s">
        <v>537</v>
      </c>
    </row>
    <row r="172" spans="1:4" x14ac:dyDescent="0.25">
      <c r="A172">
        <v>7018</v>
      </c>
      <c r="B172" t="str">
        <f t="shared" si="4"/>
        <v>schützende / minimierende Massnahme CONF nach Tabelle E2</v>
      </c>
      <c r="C172" s="14" t="s">
        <v>535</v>
      </c>
      <c r="D172" s="14" t="s">
        <v>540</v>
      </c>
    </row>
    <row r="173" spans="1:4" x14ac:dyDescent="0.25">
      <c r="A173">
        <v>7019</v>
      </c>
      <c r="B173" t="str">
        <f t="shared" si="4"/>
        <v>abschwächende/lindernde Massnahme PALL nach Tabelle E2</v>
      </c>
      <c r="C173" s="14" t="s">
        <v>538</v>
      </c>
      <c r="D173" s="14" t="s">
        <v>539</v>
      </c>
    </row>
    <row r="174" spans="1:4" x14ac:dyDescent="0.25">
      <c r="A174">
        <v>7020</v>
      </c>
      <c r="B174" t="str">
        <f t="shared" si="4"/>
        <v>Szenario Typ</v>
      </c>
      <c r="C174" s="14" t="s">
        <v>342</v>
      </c>
      <c r="D174" s="14" t="s">
        <v>541</v>
      </c>
    </row>
    <row r="175" spans="1:4" x14ac:dyDescent="0.25">
      <c r="A175">
        <v>7021</v>
      </c>
      <c r="B175" t="str">
        <f t="shared" si="4"/>
        <v>betrifft IT Grundwerte C,I,A</v>
      </c>
      <c r="C175" s="14" t="s">
        <v>542</v>
      </c>
      <c r="D175" s="14" t="s">
        <v>543</v>
      </c>
    </row>
    <row r="176" spans="1:4" x14ac:dyDescent="0.25">
      <c r="A176">
        <v>7022</v>
      </c>
      <c r="B176" t="str">
        <f t="shared" si="4"/>
        <v>vorbeugende Massnahmen</v>
      </c>
      <c r="C176" s="14" t="s">
        <v>556</v>
      </c>
      <c r="D176" s="14" t="s">
        <v>557</v>
      </c>
    </row>
    <row r="177" spans="1:4" x14ac:dyDescent="0.25">
      <c r="A177">
        <v>7023</v>
      </c>
      <c r="B177" t="str">
        <f t="shared" si="4"/>
        <v>abschreckende Massnahmen</v>
      </c>
      <c r="C177" s="14" t="s">
        <v>560</v>
      </c>
      <c r="D177" s="14" t="s">
        <v>561</v>
      </c>
    </row>
    <row r="178" spans="1:4" x14ac:dyDescent="0.25">
      <c r="A178">
        <v>7024</v>
      </c>
      <c r="B178" t="str">
        <f t="shared" si="4"/>
        <v>schützende / minimierende Massnahmen</v>
      </c>
      <c r="C178" s="14" t="s">
        <v>562</v>
      </c>
      <c r="D178" s="14" t="s">
        <v>563</v>
      </c>
    </row>
    <row r="179" spans="1:4" x14ac:dyDescent="0.25">
      <c r="A179">
        <v>7025</v>
      </c>
      <c r="B179" t="str">
        <f t="shared" si="4"/>
        <v>abschwächende/lindernde Massnahme</v>
      </c>
      <c r="C179" s="14" t="s">
        <v>565</v>
      </c>
      <c r="D179" s="14" t="s">
        <v>564</v>
      </c>
    </row>
    <row r="180" spans="1:4" x14ac:dyDescent="0.25">
      <c r="B180" t="str">
        <f t="shared" si="4"/>
        <v/>
      </c>
    </row>
    <row r="181" spans="1:4" x14ac:dyDescent="0.25">
      <c r="B181" t="str">
        <f t="shared" si="4"/>
        <v/>
      </c>
    </row>
    <row r="182" spans="1:4" x14ac:dyDescent="0.25">
      <c r="B182" t="str">
        <f t="shared" si="4"/>
        <v/>
      </c>
    </row>
    <row r="183" spans="1:4" x14ac:dyDescent="0.25">
      <c r="B183" t="str">
        <f t="shared" si="4"/>
        <v/>
      </c>
    </row>
    <row r="184" spans="1:4" x14ac:dyDescent="0.25">
      <c r="B184" t="str">
        <f t="shared" si="4"/>
        <v/>
      </c>
    </row>
  </sheetData>
  <mergeCells count="3">
    <mergeCell ref="A37:D37"/>
    <mergeCell ref="A109:D109"/>
    <mergeCell ref="A153:D153"/>
  </mergeCells>
  <pageMargins left="0.7" right="0.7" top="0.78740157499999996" bottom="0.78740157499999996" header="0.3" footer="0.3"/>
  <pageSetup paperSize="9" orientation="portrait" r:id="rId1"/>
  <headerFooter scaleWithDoc="0">
    <oddHeader>&amp;LAuditor: Micha Schönenberger&amp;CTEST 1234&amp;RIoT Risk Assessment</oddHeader>
    <oddFooter>&amp;LKunde: Rolf Huber&amp;C18.07.2015&amp;RSeite &amp;P/&amp;N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9" tint="0.39997558519241921"/>
  </sheetPr>
  <dimension ref="A1"/>
  <sheetViews>
    <sheetView workbookViewId="0">
      <selection activeCell="L14" sqref="L14"/>
    </sheetView>
  </sheetViews>
  <sheetFormatPr baseColWidth="10" defaultRowHeight="15" x14ac:dyDescent="0.25"/>
  <sheetData/>
  <pageMargins left="0.7" right="0.7" top="0.78740157499999996" bottom="0.78740157499999996" header="0.3" footer="0.3"/>
  <pageSetup paperSize="9" orientation="portrait" r:id="rId1"/>
  <headerFooter scaleWithDoc="0">
    <oddHeader>&amp;LAuditor: Micha Schönenberger&amp;CTEST 1234&amp;RIoT Risk Assessment</oddHeader>
    <oddFooter>&amp;LKunde: Rolf Huber&amp;C18.07.2015&amp;RSeite &amp;P/&amp;N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N63"/>
  <sheetViews>
    <sheetView zoomScaleNormal="100" workbookViewId="0">
      <selection activeCell="D20" sqref="D20"/>
    </sheetView>
  </sheetViews>
  <sheetFormatPr baseColWidth="10" defaultColWidth="11.42578125" defaultRowHeight="12.75" x14ac:dyDescent="0.2"/>
  <cols>
    <col min="1" max="1" width="95.140625" style="129" customWidth="1"/>
    <col min="2" max="16384" width="11.42578125" style="129"/>
  </cols>
  <sheetData>
    <row r="1" spans="1:12" x14ac:dyDescent="0.2">
      <c r="B1" s="130"/>
    </row>
    <row r="3" spans="1:12" x14ac:dyDescent="0.2">
      <c r="A3" s="131"/>
    </row>
    <row r="4" spans="1:12" x14ac:dyDescent="0.2">
      <c r="A4" s="132"/>
    </row>
    <row r="5" spans="1:12" x14ac:dyDescent="0.2">
      <c r="A5" s="132"/>
    </row>
    <row r="6" spans="1:12" x14ac:dyDescent="0.2">
      <c r="A6" s="132"/>
    </row>
    <row r="7" spans="1:12" ht="15" x14ac:dyDescent="0.25">
      <c r="A7"/>
    </row>
    <row r="8" spans="1:12" x14ac:dyDescent="0.2">
      <c r="A8" s="132"/>
    </row>
    <row r="9" spans="1:12" x14ac:dyDescent="0.2">
      <c r="A9" s="132"/>
    </row>
    <row r="10" spans="1:12" x14ac:dyDescent="0.2">
      <c r="A10" s="132"/>
    </row>
    <row r="11" spans="1:12" ht="25.5" x14ac:dyDescent="0.35">
      <c r="A11" s="133"/>
      <c r="E11" s="289"/>
      <c r="F11" s="289"/>
      <c r="G11" s="289"/>
      <c r="H11" s="289"/>
      <c r="I11" s="289"/>
      <c r="J11" s="289"/>
      <c r="K11" s="289"/>
    </row>
    <row r="12" spans="1:12" x14ac:dyDescent="0.2">
      <c r="A12" s="134"/>
      <c r="F12" s="290"/>
      <c r="G12" s="290"/>
      <c r="H12" s="290"/>
      <c r="I12" s="290"/>
      <c r="J12" s="290"/>
      <c r="K12" s="290"/>
      <c r="L12" s="290"/>
    </row>
    <row r="13" spans="1:12" x14ac:dyDescent="0.2">
      <c r="A13" s="134"/>
      <c r="F13" s="134"/>
      <c r="G13" s="134"/>
      <c r="H13" s="134"/>
      <c r="I13" s="134"/>
      <c r="J13" s="134"/>
      <c r="K13" s="134"/>
      <c r="L13" s="134"/>
    </row>
    <row r="14" spans="1:12" x14ac:dyDescent="0.2">
      <c r="A14" s="134"/>
      <c r="F14" s="134"/>
      <c r="G14" s="134"/>
      <c r="H14" s="134"/>
      <c r="I14" s="134"/>
      <c r="J14" s="134"/>
      <c r="K14" s="134"/>
      <c r="L14" s="134"/>
    </row>
    <row r="15" spans="1:12" x14ac:dyDescent="0.2">
      <c r="A15" s="134"/>
      <c r="F15" s="134"/>
      <c r="G15" s="134"/>
      <c r="H15" s="134"/>
      <c r="I15" s="134"/>
      <c r="J15" s="134"/>
      <c r="K15" s="134"/>
      <c r="L15" s="134"/>
    </row>
    <row r="16" spans="1:12" x14ac:dyDescent="0.2">
      <c r="A16" s="134"/>
      <c r="F16" s="134"/>
      <c r="G16" s="134"/>
      <c r="H16" s="134"/>
      <c r="I16" s="134"/>
      <c r="J16" s="134"/>
      <c r="K16" s="134"/>
      <c r="L16" s="134"/>
    </row>
    <row r="17" spans="1:13" x14ac:dyDescent="0.2">
      <c r="A17" s="134"/>
      <c r="F17" s="134"/>
      <c r="G17" s="134"/>
      <c r="H17" s="134"/>
      <c r="I17" s="134"/>
      <c r="J17" s="134"/>
      <c r="K17" s="134"/>
      <c r="L17" s="134"/>
    </row>
    <row r="18" spans="1:13" x14ac:dyDescent="0.2">
      <c r="A18" s="134"/>
      <c r="F18" s="134"/>
      <c r="G18" s="134"/>
      <c r="H18" s="134"/>
      <c r="I18" s="134"/>
      <c r="J18" s="134"/>
      <c r="K18" s="134"/>
      <c r="L18" s="134"/>
    </row>
    <row r="19" spans="1:13" x14ac:dyDescent="0.2">
      <c r="A19" s="134"/>
      <c r="G19" s="290"/>
      <c r="H19" s="290"/>
      <c r="I19" s="290"/>
      <c r="J19" s="290"/>
      <c r="K19" s="290"/>
      <c r="L19" s="290"/>
      <c r="M19" s="290"/>
    </row>
    <row r="20" spans="1:13" x14ac:dyDescent="0.2">
      <c r="A20" s="134"/>
      <c r="G20" s="290"/>
      <c r="H20" s="290"/>
      <c r="I20" s="290"/>
      <c r="J20" s="290"/>
      <c r="K20" s="290"/>
      <c r="L20" s="290"/>
      <c r="M20" s="290"/>
    </row>
    <row r="21" spans="1:13" x14ac:dyDescent="0.2">
      <c r="A21" s="134"/>
      <c r="G21" s="290"/>
      <c r="H21" s="290"/>
      <c r="I21" s="290"/>
      <c r="J21" s="290"/>
      <c r="K21" s="290"/>
      <c r="L21" s="290"/>
      <c r="M21" s="290"/>
    </row>
    <row r="22" spans="1:13" x14ac:dyDescent="0.2">
      <c r="A22" s="134"/>
      <c r="G22" s="290"/>
      <c r="H22" s="290"/>
      <c r="I22" s="290"/>
      <c r="J22" s="290"/>
      <c r="K22" s="290"/>
      <c r="L22" s="290"/>
      <c r="M22" s="290"/>
    </row>
    <row r="23" spans="1:13" x14ac:dyDescent="0.2">
      <c r="A23" s="134"/>
      <c r="G23" s="290"/>
      <c r="H23" s="290"/>
      <c r="I23" s="290"/>
      <c r="J23" s="290"/>
      <c r="K23" s="290"/>
      <c r="L23" s="290"/>
      <c r="M23" s="290"/>
    </row>
    <row r="24" spans="1:13" ht="30" x14ac:dyDescent="0.4">
      <c r="A24" s="136" t="str">
        <f>Header_right</f>
        <v>IoT Risk Assessment</v>
      </c>
    </row>
    <row r="26" spans="1:13" ht="20.25" x14ac:dyDescent="0.3">
      <c r="A26" s="137" t="str">
        <f>IF(Customer_company="","",Customer_company)</f>
        <v/>
      </c>
    </row>
    <row r="27" spans="1:13" ht="20.25" x14ac:dyDescent="0.3">
      <c r="A27" s="137" t="str">
        <f>CONCATENATE(Customer_Surname," ",Customer_Lastname)</f>
        <v>Rolf Huber</v>
      </c>
    </row>
    <row r="28" spans="1:13" ht="20.25" x14ac:dyDescent="0.3">
      <c r="A28" s="137" t="str">
        <f>Customer_Street</f>
        <v>Bahnhofstrasse 1</v>
      </c>
    </row>
    <row r="29" spans="1:13" ht="20.25" x14ac:dyDescent="0.3">
      <c r="A29" s="137" t="str">
        <f>CONCATENATE(Customer_PLZ," ", Customer_Place)</f>
        <v>8400 Winterthur</v>
      </c>
    </row>
    <row r="32" spans="1:13" ht="18" x14ac:dyDescent="0.25">
      <c r="A32" s="149" t="str">
        <f ca="1">Footer_center</f>
        <v>30.07.2015</v>
      </c>
    </row>
    <row r="46" spans="1:14" x14ac:dyDescent="0.2">
      <c r="A46" s="135"/>
      <c r="H46" s="291"/>
      <c r="I46" s="291"/>
      <c r="J46" s="291"/>
      <c r="K46" s="291"/>
      <c r="L46" s="291"/>
      <c r="M46" s="291"/>
      <c r="N46" s="291"/>
    </row>
    <row r="47" spans="1:14" ht="18" x14ac:dyDescent="0.25">
      <c r="A47" s="147" t="s">
        <v>475</v>
      </c>
      <c r="C47"/>
    </row>
    <row r="49" spans="1:14" x14ac:dyDescent="0.2">
      <c r="A49" s="138" t="str">
        <f>Auditor_Company</f>
        <v>ZHAW</v>
      </c>
      <c r="H49" s="292"/>
      <c r="I49" s="292"/>
      <c r="J49" s="292"/>
      <c r="K49" s="292"/>
      <c r="L49" s="292"/>
      <c r="M49" s="292"/>
      <c r="N49" s="292"/>
    </row>
    <row r="50" spans="1:14" x14ac:dyDescent="0.2">
      <c r="A50" s="138" t="str">
        <f>CONCATENATE(Auditor_Surname," ", Auditor_Lastname)</f>
        <v>Micha Schönenberger</v>
      </c>
    </row>
    <row r="51" spans="1:14" x14ac:dyDescent="0.2">
      <c r="A51" s="129" t="str">
        <f>Auditor_email</f>
        <v>schoenm1@students.zhaw.ch</v>
      </c>
    </row>
    <row r="55" spans="1:14" x14ac:dyDescent="0.2">
      <c r="A55" s="135"/>
    </row>
    <row r="59" spans="1:14" x14ac:dyDescent="0.2">
      <c r="A59" s="135"/>
    </row>
    <row r="63" spans="1:14" x14ac:dyDescent="0.2">
      <c r="B63" s="130"/>
    </row>
  </sheetData>
  <mergeCells count="9">
    <mergeCell ref="E11:K11"/>
    <mergeCell ref="F12:L12"/>
    <mergeCell ref="G23:M23"/>
    <mergeCell ref="H46:N46"/>
    <mergeCell ref="H49:N49"/>
    <mergeCell ref="G22:M22"/>
    <mergeCell ref="G21:M21"/>
    <mergeCell ref="G20:M20"/>
    <mergeCell ref="G19:M19"/>
  </mergeCells>
  <pageMargins left="0.70866141732283472" right="0.70866141732283472" top="0.78740157480314965" bottom="0.78740157480314965" header="0.31496062992125984" footer="0.31496062992125984"/>
  <pageSetup paperSize="9" orientation="portrait" r:id="rId1"/>
  <headerFooter differentFirst="1" scaleWithDoc="0">
    <oddHeader>&amp;LAuditor: Micha Schönenberger&amp;RIoT Risk Assessment</oddHeader>
    <oddFooter>&amp;LKunde: Max Muster&amp;RSeite &amp;P/&amp;N</oddFooter>
  </headerFooter>
  <colBreaks count="1" manualBreakCount="1">
    <brk id="1" max="5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filterMode="1">
    <tabColor theme="8" tint="0.39997558519241921"/>
  </sheetPr>
  <dimension ref="A1:AA38"/>
  <sheetViews>
    <sheetView tabSelected="1" topLeftCell="A14" zoomScaleNormal="100" zoomScaleSheetLayoutView="85" zoomScalePageLayoutView="130" workbookViewId="0">
      <pane xSplit="2" ySplit="4" topLeftCell="C18" activePane="bottomRight" state="frozen"/>
      <selection activeCell="D20" sqref="D20"/>
      <selection pane="topRight" activeCell="D20" sqref="D20"/>
      <selection pane="bottomLeft" activeCell="D20" sqref="D20"/>
      <selection pane="bottomRight" activeCell="C23" sqref="C23"/>
    </sheetView>
  </sheetViews>
  <sheetFormatPr baseColWidth="10" defaultColWidth="10.85546875" defaultRowHeight="12.75" outlineLevelRow="1" x14ac:dyDescent="0.25"/>
  <cols>
    <col min="1" max="1" width="4.140625" style="1" customWidth="1"/>
    <col min="2" max="2" width="25.140625" style="1" customWidth="1"/>
    <col min="3" max="3" width="39.7109375" style="1" customWidth="1"/>
    <col min="4" max="4" width="42" style="1" customWidth="1"/>
    <col min="5" max="5" width="34.85546875" style="1" customWidth="1"/>
    <col min="6" max="7" width="4" style="7" customWidth="1"/>
    <col min="8" max="8" width="5.42578125" style="7" customWidth="1"/>
    <col min="9" max="9" width="5.28515625" style="7" customWidth="1"/>
    <col min="10" max="10" width="40.28515625" style="9" customWidth="1"/>
    <col min="11" max="11" width="5" style="1" customWidth="1"/>
    <col min="12" max="12" width="6.85546875" style="1" bestFit="1" customWidth="1"/>
    <col min="13" max="19" width="5.7109375" style="1" customWidth="1"/>
    <col min="20" max="20" width="5.7109375" style="1" bestFit="1" customWidth="1"/>
    <col min="21" max="21" width="6.140625" style="1" customWidth="1"/>
    <col min="22" max="22" width="5.7109375" style="1" bestFit="1" customWidth="1"/>
    <col min="23" max="24" width="5.7109375" style="1" customWidth="1"/>
    <col min="25" max="25" width="8.7109375" style="1" customWidth="1"/>
    <col min="26" max="26" width="5.140625" style="1" bestFit="1" customWidth="1"/>
    <col min="27" max="27" width="8.7109375" style="1" customWidth="1"/>
    <col min="28" max="16384" width="10.85546875" style="1"/>
  </cols>
  <sheetData>
    <row r="1" spans="1:26" ht="15.75" hidden="1" customHeight="1" outlineLevel="1" x14ac:dyDescent="0.3">
      <c r="A1" s="37" t="str">
        <f>VLOOKUP(6028,LANGUAGE_DB,2)</f>
        <v>FMEA Einstellungen</v>
      </c>
      <c r="B1" s="3"/>
      <c r="C1" s="4"/>
      <c r="D1" s="4"/>
      <c r="E1" s="4"/>
      <c r="F1" s="6"/>
      <c r="G1" s="6"/>
      <c r="H1" s="6"/>
      <c r="I1" s="27"/>
    </row>
    <row r="2" spans="1:26" ht="12.75" hidden="1" customHeight="1" outlineLevel="1" x14ac:dyDescent="0.25"/>
    <row r="3" spans="1:26" ht="12.75" hidden="1" customHeight="1" outlineLevel="1" thickBot="1" x14ac:dyDescent="0.3">
      <c r="D3" s="101"/>
    </row>
    <row r="4" spans="1:26" ht="12.75" hidden="1" customHeight="1" outlineLevel="1" thickBot="1" x14ac:dyDescent="0.3">
      <c r="A4" s="38" t="str">
        <f>VLOOKUP(1004,LANGUAGE_DB,2)</f>
        <v>erster Eintrag in Zeile</v>
      </c>
      <c r="B4" s="5"/>
      <c r="C4" s="35">
        <f>ROW(K17)+1</f>
        <v>18</v>
      </c>
      <c r="D4" s="101"/>
    </row>
    <row r="5" spans="1:26" s="40" customFormat="1" ht="13.5" hidden="1" outlineLevel="1" thickBot="1" x14ac:dyDescent="0.3">
      <c r="A5" s="38" t="str">
        <f>VLOOKUP(6034,LANGUAGE_DB,2)</f>
        <v>letzter FMEA Eintrag in Zeile</v>
      </c>
      <c r="B5" s="39"/>
      <c r="C5" s="35">
        <f>ROW(K38)-1</f>
        <v>37</v>
      </c>
      <c r="D5" s="39"/>
      <c r="E5" s="39"/>
      <c r="F5" s="30"/>
      <c r="G5" s="30"/>
      <c r="H5" s="30"/>
      <c r="I5" s="30"/>
      <c r="J5" s="38"/>
    </row>
    <row r="6" spans="1:26" s="40" customFormat="1" ht="13.5" hidden="1" outlineLevel="1" thickBot="1" x14ac:dyDescent="0.3">
      <c r="A6" s="38" t="str">
        <f>VLOOKUP(6035,LANGUAGE_DB,2)</f>
        <v>Spalte für das Filtern der Relevanz</v>
      </c>
      <c r="C6" s="35">
        <f>COLUMN(K17)</f>
        <v>11</v>
      </c>
      <c r="D6" s="39"/>
      <c r="E6" s="39"/>
      <c r="F6" s="30"/>
      <c r="G6" s="30"/>
      <c r="H6" s="30"/>
      <c r="I6" s="30"/>
      <c r="J6" s="38"/>
    </row>
    <row r="7" spans="1:26" s="40" customFormat="1" ht="13.5" hidden="1" outlineLevel="1" thickBot="1" x14ac:dyDescent="0.3">
      <c r="A7" s="40" t="str">
        <f>VLOOKUP(F12,LANGUAGE_DB,2)</f>
        <v>Auftrittshäufigkeit</v>
      </c>
      <c r="C7" s="35" t="str">
        <f>LEFT(ADDRESS(1,COLUMN(W17),4),1+(COLUMN(W17)&gt;26))</f>
        <v>W</v>
      </c>
      <c r="D7" s="39"/>
      <c r="E7" s="39"/>
      <c r="F7" s="30"/>
      <c r="G7" s="30"/>
      <c r="H7" s="30"/>
      <c r="I7" s="30"/>
      <c r="J7" s="38"/>
    </row>
    <row r="8" spans="1:26" s="40" customFormat="1" ht="13.5" hidden="1" outlineLevel="1" thickBot="1" x14ac:dyDescent="0.3">
      <c r="A8" s="40" t="str">
        <f>VLOOKUP(G12,LANGUAGE_DB,2)</f>
        <v>Schweregrad</v>
      </c>
      <c r="C8" s="35" t="str">
        <f>LEFT(ADDRESS(1,COLUMN(X21),4),1+(COLUMN(X21)&gt;26))</f>
        <v>X</v>
      </c>
      <c r="D8" s="39"/>
      <c r="E8" s="39"/>
      <c r="F8" s="30"/>
      <c r="G8" s="30"/>
      <c r="H8" s="30"/>
      <c r="I8" s="30"/>
      <c r="J8" s="38"/>
    </row>
    <row r="9" spans="1:26" s="40" customFormat="1" ht="13.5" hidden="1" outlineLevel="1" thickBot="1" x14ac:dyDescent="0.3">
      <c r="A9" s="40" t="s">
        <v>509</v>
      </c>
      <c r="C9" s="35" t="str">
        <f>LEFT(ADDRESS(1,COLUMN(Z17),4),1+(COLUMN(Z17)&gt;26))</f>
        <v>Z</v>
      </c>
      <c r="D9" s="39"/>
      <c r="E9" s="39"/>
      <c r="F9" s="30"/>
      <c r="G9" s="30"/>
      <c r="H9" s="30"/>
      <c r="I9" s="30"/>
      <c r="J9" s="38"/>
    </row>
    <row r="10" spans="1:26" s="40" customFormat="1" hidden="1" outlineLevel="1" x14ac:dyDescent="0.25"/>
    <row r="11" spans="1:26" s="40" customFormat="1" ht="15" hidden="1" outlineLevel="1" x14ac:dyDescent="0.25">
      <c r="A11" s="36" t="str">
        <f>VLOOKUP(6027,LANGUAGE_DB,2)</f>
        <v>Titel FMEA-Formblatt</v>
      </c>
      <c r="B11" s="27"/>
      <c r="C11" s="27"/>
      <c r="D11" s="27"/>
      <c r="E11" s="27"/>
      <c r="F11" s="27"/>
      <c r="G11" s="27"/>
      <c r="H11" s="27"/>
      <c r="I11" s="27"/>
      <c r="J11" s="27"/>
    </row>
    <row r="12" spans="1:26" s="40" customFormat="1" hidden="1" outlineLevel="1" x14ac:dyDescent="0.25">
      <c r="A12" s="27">
        <v>6000</v>
      </c>
      <c r="B12" s="27">
        <v>6002</v>
      </c>
      <c r="C12" s="27">
        <v>6005</v>
      </c>
      <c r="D12" s="27">
        <v>6004</v>
      </c>
      <c r="E12" s="27">
        <v>6012</v>
      </c>
      <c r="F12" s="27">
        <v>6008</v>
      </c>
      <c r="G12" s="27">
        <v>6009</v>
      </c>
      <c r="H12" s="27">
        <v>6011</v>
      </c>
      <c r="I12" s="27">
        <v>6001</v>
      </c>
      <c r="J12" s="27">
        <v>6003</v>
      </c>
      <c r="K12" s="40">
        <v>6031</v>
      </c>
      <c r="Z12" s="40">
        <v>6039</v>
      </c>
    </row>
    <row r="13" spans="1:26" s="40" customFormat="1" ht="13.5" hidden="1" outlineLevel="1" thickBot="1" x14ac:dyDescent="0.3">
      <c r="A13" s="102"/>
      <c r="B13" s="102"/>
      <c r="C13" s="102"/>
      <c r="D13" s="102"/>
      <c r="E13" s="102"/>
      <c r="F13" s="102"/>
      <c r="G13" s="102"/>
      <c r="H13" s="102"/>
      <c r="I13" s="102"/>
      <c r="J13" s="102"/>
    </row>
    <row r="14" spans="1:26" s="40" customFormat="1" ht="15" customHeight="1" collapsed="1" thickBot="1" x14ac:dyDescent="0.3">
      <c r="A14" s="48" t="str">
        <f>VLOOKUP(6029,LANGUAGE_DB,2)</f>
        <v>0 = Nummer / 1 = Text</v>
      </c>
      <c r="B14" s="5"/>
      <c r="C14" s="175">
        <v>1</v>
      </c>
      <c r="D14" s="27"/>
      <c r="E14" s="27"/>
      <c r="F14" s="27"/>
      <c r="G14" s="27"/>
      <c r="H14" s="27"/>
      <c r="I14" s="27"/>
      <c r="J14" s="27"/>
    </row>
    <row r="15" spans="1:26" ht="18" x14ac:dyDescent="0.25">
      <c r="A15" s="31" t="s">
        <v>153</v>
      </c>
      <c r="B15" s="27"/>
      <c r="C15" s="27"/>
      <c r="D15" s="27"/>
      <c r="E15" s="27"/>
      <c r="F15" s="27"/>
      <c r="G15" s="27"/>
      <c r="H15" s="27"/>
      <c r="I15" s="27"/>
      <c r="J15" s="27"/>
      <c r="W15" s="164"/>
    </row>
    <row r="16" spans="1:26" ht="13.5" thickBot="1" x14ac:dyDescent="0.3"/>
    <row r="17" spans="1:27" s="2" customFormat="1" ht="102" thickBot="1" x14ac:dyDescent="0.3">
      <c r="A17" s="166" t="str">
        <f>CONCATENATE("FMEA ",VLOOKUP(A12,LANGUAGE_DB,2))</f>
        <v>FMEA Nummer</v>
      </c>
      <c r="B17" s="167" t="str">
        <f t="shared" ref="B17:K17" si="0">VLOOKUP(B12,LANGUAGE_DB,2)</f>
        <v>betrifft Funktion / Asset</v>
      </c>
      <c r="C17" s="167" t="str">
        <f t="shared" si="0"/>
        <v>potentielle Fehler (herbeigeführt durch Bedrohung / Gefahr)</v>
      </c>
      <c r="D17" s="167" t="str">
        <f t="shared" si="0"/>
        <v>pot. Folgen des Fehlers</v>
      </c>
      <c r="E17" s="167" t="str">
        <f t="shared" si="0"/>
        <v>potentielle Fehlerursache</v>
      </c>
      <c r="F17" s="166" t="str">
        <f t="shared" si="0"/>
        <v>Auftrittshäufigkeit</v>
      </c>
      <c r="G17" s="166" t="str">
        <f t="shared" si="0"/>
        <v>Schweregrad</v>
      </c>
      <c r="H17" s="166" t="str">
        <f t="shared" si="0"/>
        <v>Risiko-Prioritäts-Zahl</v>
      </c>
      <c r="I17" s="166" t="str">
        <f t="shared" si="0"/>
        <v>Risiko akzeptiert</v>
      </c>
      <c r="J17" s="167" t="str">
        <f t="shared" si="0"/>
        <v>Bemerkungen</v>
      </c>
      <c r="K17" s="33" t="str">
        <f t="shared" si="0"/>
        <v>relevant für Matrix</v>
      </c>
      <c r="L17" s="33"/>
      <c r="M17" s="33" t="s">
        <v>183</v>
      </c>
      <c r="N17" s="33" t="s">
        <v>523</v>
      </c>
      <c r="O17" s="33" t="s">
        <v>524</v>
      </c>
      <c r="P17" s="33" t="s">
        <v>525</v>
      </c>
      <c r="Q17" s="33" t="s">
        <v>529</v>
      </c>
      <c r="R17" s="33" t="s">
        <v>531</v>
      </c>
      <c r="S17" s="33" t="s">
        <v>530</v>
      </c>
      <c r="T17" s="33" t="s">
        <v>240</v>
      </c>
      <c r="U17" s="33" t="s">
        <v>239</v>
      </c>
      <c r="V17" s="33" t="s">
        <v>243</v>
      </c>
      <c r="W17" s="99" t="str">
        <f>F17</f>
        <v>Auftrittshäufigkeit</v>
      </c>
      <c r="X17" s="99" t="str">
        <f>G17</f>
        <v>Schweregrad</v>
      </c>
      <c r="Y17" s="125" t="s">
        <v>488</v>
      </c>
      <c r="Z17" s="99" t="str">
        <f>VLOOKUP(Z12,LANGUAGE_DB,2)</f>
        <v>Anzahl Duplikate</v>
      </c>
      <c r="AA17" s="125" t="s">
        <v>488</v>
      </c>
    </row>
    <row r="18" spans="1:27" s="53" customFormat="1" ht="22.5" x14ac:dyDescent="0.2">
      <c r="A18" s="179">
        <f t="shared" ref="A18:A37" si="1">ROW()-FMEA_1st+1</f>
        <v>1</v>
      </c>
      <c r="B18" s="236" t="str">
        <f>IF(M18="","",IF(FMEA_Short_Long=0,VLOOKUP(M18,Asset_DB,1,FALSE),VLOOKUP(M18,Asset_DB,2,FALSE)))</f>
        <v>Mobile "Smart" Devices</v>
      </c>
      <c r="C18" s="180" t="str">
        <f>CONCATENATE(IF(N18="","",IF(FMEA_Short_Long=0,VLOOKUP(N18,potential_failure_DB,1,FALSE),VLOOKUP(N18,potential_failure_DB,2,FALSE))),IF(O18="","",IF(FMEA_Short_Long=0,"; ",CHAR(10))),IF(O18="","",IF(FMEA_Short_Long=0,VLOOKUP(O18,potential_failure_DB,1,FALSE),VLOOKUP(O18,potential_failure_DB,2,FALSE))),,IF(P18="","",IF(FMEA_Short_Long=0,"; ",CHAR(10))),IF(P18="","",IF(FMEA_Short_Long=0,VLOOKUP(O18,potential_failure_DB,1,FALSE),VLOOKUP(P18,potential_failure_DB,2,FALSE))))</f>
        <v>Verlust (Eigenverschulden)
Diebstahl</v>
      </c>
      <c r="D18" s="180" t="str">
        <f>CONCATENATE(IF(Q18="","",IF(FMEA_Short_Long=0,VLOOKUP(Q18,result_failure_DB,1,FALSE),VLOOKUP(Q18,result_failure_DB,2,FALSE))),IF(R18="","",IF(FMEA_Short_Long=0,"; ",CHAR(10))),IF(R18="","",IF(FMEA_Short_Long=0,VLOOKUP(R18,result_failure_DB,1,FALSE),VLOOKUP(R18,result_failure_DB,2,FALSE))),,IF(S18="","",IF(FMEA_Short_Long=0,"; ",CHAR(10))),IF(S18="","",IF(FMEA_Short_Long=0,VLOOKUP(R18,result_failure_DB,1,FALSE),VLOOKUP(S18,result_failure_DB,2,FALSE))))</f>
        <v>finanzieller Schaden (&lt; 500.-)
Datenverlust</v>
      </c>
      <c r="E18" s="180" t="str">
        <f>CONCATENATE(IF(T18="","",IF(FMEA_Short_Long=0,VLOOKUP(T18,cause_failure_DB,1,FALSE),VLOOKUP(T18,cause_failure_DB,2,FALSE))),IF(U18="","",IF(FMEA_Short_Long=0,"; ",CHAR(10))),IF(U18="","",IF(FMEA_Short_Long=0,VLOOKUP(U18,cause_failure_DB,1,FALSE),VLOOKUP(U18,cause_failure_DB,2,FALSE))),,IF(V18="","",IF(FMEA_Short_Long=0,"; ",CHAR(10))),IF(V18="","",IF(FMEA_Short_Long=0,VLOOKUP(U18,cause_failure_DB,1,FALSE),VLOOKUP(V18,cause_failure_DB,2,FALSE))))</f>
        <v>Diebstahl
Unvorsichtigkeit</v>
      </c>
      <c r="F18" s="181">
        <v>3</v>
      </c>
      <c r="G18" s="181">
        <v>5</v>
      </c>
      <c r="H18" s="182">
        <f>IF(OR(F18="",G18=""),"",F18*G18)</f>
        <v>15</v>
      </c>
      <c r="I18" s="237" t="str">
        <f>IF(OR(F18="",G18=""),"",IF(FMEA_Accept(F18,G18)=0,VLOOKUP(5001,LANGUAGE_DB,2,FALSE),VLOOKUP(5000,LANGUAGE_DB,2,FALSE)))</f>
        <v>Ja</v>
      </c>
      <c r="J18" s="238"/>
      <c r="K18" s="91" t="s">
        <v>14</v>
      </c>
      <c r="M18" s="52" t="s">
        <v>527</v>
      </c>
      <c r="N18" s="51" t="s">
        <v>609</v>
      </c>
      <c r="O18" s="51" t="s">
        <v>705</v>
      </c>
      <c r="P18" s="51"/>
      <c r="Q18" s="51" t="s">
        <v>617</v>
      </c>
      <c r="R18" s="51" t="s">
        <v>528</v>
      </c>
      <c r="S18" s="51"/>
      <c r="T18" s="51" t="s">
        <v>607</v>
      </c>
      <c r="U18" s="51" t="s">
        <v>616</v>
      </c>
      <c r="V18" s="51"/>
      <c r="W18" s="165">
        <f>_xlfn.NUMBERVALUE(IFERROR(F18,"0"))+0.2</f>
        <v>3.2</v>
      </c>
      <c r="X18" s="165">
        <f t="shared" ref="X18:X31" si="2">_xlfn.NUMBERVALUE(IFERROR(G18,"0"))</f>
        <v>5</v>
      </c>
      <c r="Y18" s="124" t="str">
        <f>CONCATENATE(W18,";",X18)</f>
        <v>3.2;5</v>
      </c>
      <c r="Z18" s="124">
        <f t="shared" ref="Z18:Z37" si="3">COUNTIF(Y$18:Y$37,Y18)</f>
        <v>1</v>
      </c>
      <c r="AA18" s="124" t="str">
        <f t="shared" ref="AA18:AA37" si="4">IF(W18=0,"",CONCATENATE("ID=",A18))</f>
        <v>ID=1</v>
      </c>
    </row>
    <row r="19" spans="1:27" s="53" customFormat="1" ht="22.5" x14ac:dyDescent="0.2">
      <c r="A19" s="183">
        <f t="shared" si="1"/>
        <v>2</v>
      </c>
      <c r="B19" s="239" t="str">
        <f>IF(M19="","",IF(FMEA_Short_Long=0,VLOOKUP(M19,Asset_DB,1,FALSE),VLOOKUP(M19,Asset_DB,2,FALSE)))</f>
        <v>Mobile "Smart" Devices</v>
      </c>
      <c r="C19" s="184" t="str">
        <f>CONCATENATE(IF(N19="","",IF(FMEA_Short_Long=0,VLOOKUP(N19,potential_failure_DB,1,FALSE),VLOOKUP(N19,potential_failure_DB,2,FALSE))),IF(O19="","",IF(FMEA_Short_Long=0,"; ",CHAR(10))),IF(O19="","",IF(FMEA_Short_Long=0,VLOOKUP(O19,potential_failure_DB,1,FALSE),VLOOKUP(O19,potential_failure_DB,2,FALSE))),,IF(P19="","",IF(FMEA_Short_Long=0,"; ",CHAR(10))),IF(P19="","",IF(FMEA_Short_Long=0,VLOOKUP(O19,potential_failure_DB,1,FALSE),VLOOKUP(P19,potential_failure_DB,2,FALSE))))</f>
        <v>Verlust (Eigenverschulden)
Diebstahl</v>
      </c>
      <c r="D19" s="184" t="str">
        <f>CONCATENATE(IF(Q19="","",IF(FMEA_Short_Long=0,VLOOKUP(Q19,result_failure_DB,1,FALSE),VLOOKUP(Q19,result_failure_DB,2,FALSE))),IF(R19="","",IF(FMEA_Short_Long=0,"; ",CHAR(10))),IF(R19="","",IF(FMEA_Short_Long=0,VLOOKUP(R19,result_failure_DB,1,FALSE),VLOOKUP(R19,result_failure_DB,2,FALSE))),,IF(S19="","",IF(FMEA_Short_Long=0,"; ",CHAR(10))),IF(S19="","",IF(FMEA_Short_Long=0,VLOOKUP(R19,result_failure_DB,1,FALSE),VLOOKUP(S19,result_failure_DB,2,FALSE))))</f>
        <v>finanzieller Schaden (&lt; 500.-)
Diebstahl von privaten Daten</v>
      </c>
      <c r="E19" s="184" t="str">
        <f>CONCATENATE(IF(T19="","",IF(FMEA_Short_Long=0,VLOOKUP(T19,cause_failure_DB,1,FALSE),VLOOKUP(T19,cause_failure_DB,2,FALSE))),IF(U19="","",IF(FMEA_Short_Long=0,"; ",CHAR(10))),IF(U19="","",IF(FMEA_Short_Long=0,VLOOKUP(U19,cause_failure_DB,1,FALSE),VLOOKUP(U19,cause_failure_DB,2,FALSE))),,IF(V19="","",IF(FMEA_Short_Long=0,"; ",CHAR(10))),IF(V19="","",IF(FMEA_Short_Long=0,VLOOKUP(U19,cause_failure_DB,1,FALSE),VLOOKUP(V19,cause_failure_DB,2,FALSE))))</f>
        <v>Daten nicht verschlüsselt</v>
      </c>
      <c r="F19" s="185">
        <v>3</v>
      </c>
      <c r="G19" s="185">
        <v>5</v>
      </c>
      <c r="H19" s="186">
        <f>IF(OR(F19="",G19=""),"",F19*G19)</f>
        <v>15</v>
      </c>
      <c r="I19" s="240" t="str">
        <f>IF(OR(F19="",G19=""),"",IF(FMEA_Accept(F19,G19)=0,VLOOKUP(5001,LANGUAGE_DB,2,FALSE),VLOOKUP(5000,LANGUAGE_DB,2,FALSE)))</f>
        <v>Ja</v>
      </c>
      <c r="J19" s="241"/>
      <c r="K19" s="91" t="s">
        <v>14</v>
      </c>
      <c r="M19" s="52" t="s">
        <v>527</v>
      </c>
      <c r="N19" s="51" t="s">
        <v>609</v>
      </c>
      <c r="O19" s="51" t="s">
        <v>705</v>
      </c>
      <c r="P19" s="51"/>
      <c r="Q19" s="51" t="s">
        <v>617</v>
      </c>
      <c r="R19" s="51" t="s">
        <v>673</v>
      </c>
      <c r="S19" s="51"/>
      <c r="T19" s="51" t="s">
        <v>704</v>
      </c>
      <c r="U19" s="51"/>
      <c r="V19" s="51"/>
      <c r="W19" s="165">
        <f>_xlfn.NUMBERVALUE(IFERROR(F19,"0"))+-0.2</f>
        <v>2.8</v>
      </c>
      <c r="X19" s="165">
        <f t="shared" si="2"/>
        <v>5</v>
      </c>
      <c r="Y19" s="124" t="str">
        <f>CONCATENATE(W19,";",X19)</f>
        <v>2.8;5</v>
      </c>
      <c r="Z19" s="124">
        <f t="shared" si="3"/>
        <v>1</v>
      </c>
      <c r="AA19" s="124" t="str">
        <f t="shared" si="4"/>
        <v>ID=2</v>
      </c>
    </row>
    <row r="20" spans="1:27" s="53" customFormat="1" ht="22.5" x14ac:dyDescent="0.2">
      <c r="A20" s="187">
        <f t="shared" si="1"/>
        <v>3</v>
      </c>
      <c r="B20" s="242" t="str">
        <f>IF(M20="","",IF(FMEA_Short_Long=0,VLOOKUP(M20,Asset_DB,1,FALSE),VLOOKUP(M20,Asset_DB,2,FALSE)))</f>
        <v>Mobile "Smart" Devices</v>
      </c>
      <c r="C20" s="188" t="str">
        <f>CONCATENATE(IF(N20="","",IF(FMEA_Short_Long=0,VLOOKUP(N20,potential_failure_DB,1,FALSE),VLOOKUP(N20,potential_failure_DB,2,FALSE))),IF(O20="","",IF(FMEA_Short_Long=0,"; ",CHAR(10))),IF(O20="","",IF(FMEA_Short_Long=0,VLOOKUP(O20,potential_failure_DB,1,FALSE),VLOOKUP(O20,potential_failure_DB,2,FALSE))),,IF(P20="","",IF(FMEA_Short_Long=0,"; ",CHAR(10))),IF(P20="","",IF(FMEA_Short_Long=0,VLOOKUP(O20,potential_failure_DB,1,FALSE),VLOOKUP(P20,potential_failure_DB,2,FALSE))))</f>
        <v>private Daten in falschen Händen</v>
      </c>
      <c r="D20" s="188" t="str">
        <f>CONCATENATE(IF(Q20="","",IF(FMEA_Short_Long=0,VLOOKUP(Q20,result_failure_DB,1,FALSE),VLOOKUP(Q20,result_failure_DB,2,FALSE))),IF(R20="","",IF(FMEA_Short_Long=0,"; ",CHAR(10))),IF(R20="","",IF(FMEA_Short_Long=0,VLOOKUP(R20,result_failure_DB,1,FALSE),VLOOKUP(R20,result_failure_DB,2,FALSE))),,IF(S20="","",IF(FMEA_Short_Long=0,"; ",CHAR(10))),IF(S20="","",IF(FMEA_Short_Long=0,VLOOKUP(R20,result_failure_DB,1,FALSE),VLOOKUP(S20,result_failure_DB,2,FALSE))))</f>
        <v>Verkauf von privaten Daten
Strategisches Sammeln von privaten Daten für den Verkauf</v>
      </c>
      <c r="E20" s="188" t="str">
        <f>CONCATENATE(IF(T20="","",IF(FMEA_Short_Long=0,VLOOKUP(T20,cause_failure_DB,1,FALSE),VLOOKUP(T20,cause_failure_DB,2,FALSE))),IF(U20="","",IF(FMEA_Short_Long=0,"; ",CHAR(10))),IF(U20="","",IF(FMEA_Short_Long=0,VLOOKUP(U20,cause_failure_DB,1,FALSE),VLOOKUP(U20,cause_failure_DB,2,FALSE))),,IF(V20="","",IF(FMEA_Short_Long=0,"; ",CHAR(10))),IF(V20="","",IF(FMEA_Short_Long=0,VLOOKUP(U20,cause_failure_DB,1,FALSE),VLOOKUP(V20,cause_failure_DB,2,FALSE))))</f>
        <v>Mobile Applikation mit zu vielen Rechten
unsichere Netzwerk-Services</v>
      </c>
      <c r="F20" s="189">
        <v>8</v>
      </c>
      <c r="G20" s="189">
        <v>2</v>
      </c>
      <c r="H20" s="190">
        <f>IF(OR(F20="",G20=""),"",F20*G20)</f>
        <v>16</v>
      </c>
      <c r="I20" s="243" t="str">
        <f>IF(OR(F20="",G20=""),"",IF(FMEA_Accept(F20,G20)=0,VLOOKUP(5001,LANGUAGE_DB,2,FALSE),VLOOKUP(5000,LANGUAGE_DB,2,FALSE)))</f>
        <v>Ja</v>
      </c>
      <c r="J20" s="244"/>
      <c r="K20" s="91" t="s">
        <v>14</v>
      </c>
      <c r="M20" s="52" t="s">
        <v>527</v>
      </c>
      <c r="N20" s="51" t="s">
        <v>693</v>
      </c>
      <c r="O20" s="51"/>
      <c r="P20" s="51"/>
      <c r="Q20" s="51" t="s">
        <v>696</v>
      </c>
      <c r="R20" s="51" t="s">
        <v>708</v>
      </c>
      <c r="S20" s="51"/>
      <c r="T20" s="51" t="s">
        <v>701</v>
      </c>
      <c r="U20" s="51" t="s">
        <v>722</v>
      </c>
      <c r="V20" s="51"/>
      <c r="W20" s="165">
        <f>_xlfn.NUMBERVALUE(IFERROR(F20,"0"))</f>
        <v>8</v>
      </c>
      <c r="X20" s="165">
        <f t="shared" si="2"/>
        <v>2</v>
      </c>
      <c r="Y20" s="124" t="str">
        <f>CONCATENATE(W20,";",X20)</f>
        <v>8;2</v>
      </c>
      <c r="Z20" s="124">
        <f t="shared" si="3"/>
        <v>1</v>
      </c>
      <c r="AA20" s="124" t="str">
        <f t="shared" si="4"/>
        <v>ID=3</v>
      </c>
    </row>
    <row r="21" spans="1:27" s="53" customFormat="1" ht="22.5" x14ac:dyDescent="0.2">
      <c r="A21" s="187">
        <f t="shared" si="1"/>
        <v>4</v>
      </c>
      <c r="B21" s="242" t="str">
        <f>IF(M21="","",IF(FMEA_Short_Long=0,VLOOKUP(M21,Asset_DB,1,FALSE),VLOOKUP(M21,Asset_DB,2,FALSE)))</f>
        <v>WLAN Infrastruktur</v>
      </c>
      <c r="C21" s="188" t="str">
        <f>CONCATENATE(IF(N21="","",IF(FMEA_Short_Long=0,VLOOKUP(N21,potential_failure_DB,1,FALSE),VLOOKUP(N21,potential_failure_DB,2,FALSE))),IF(O21="","",IF(FMEA_Short_Long=0,"; ",CHAR(10))),IF(O21="","",IF(FMEA_Short_Long=0,VLOOKUP(O21,potential_failure_DB,1,FALSE),VLOOKUP(O21,potential_failure_DB,2,FALSE))),,IF(P21="","",IF(FMEA_Short_Long=0,"; ",CHAR(10))),IF(P21="","",IF(FMEA_Short_Long=0,VLOOKUP(O21,potential_failure_DB,1,FALSE),VLOOKUP(P21,potential_failure_DB,2,FALSE))))</f>
        <v>Hardware Ausfall (ohne Fremdeinwirkung)</v>
      </c>
      <c r="D21" s="188" t="str">
        <f>CONCATENATE(IF(Q21="","",IF(FMEA_Short_Long=0,VLOOKUP(Q21,result_failure_DB,1,FALSE),VLOOKUP(Q21,result_failure_DB,2,FALSE))),IF(R21="","",IF(FMEA_Short_Long=0,"; ",CHAR(10))),IF(R21="","",IF(FMEA_Short_Long=0,VLOOKUP(R21,result_failure_DB,1,FALSE),VLOOKUP(R21,result_failure_DB,2,FALSE))),,IF(S21="","",IF(FMEA_Short_Long=0,"; ",CHAR(10))),IF(S21="","",IF(FMEA_Short_Long=0,VLOOKUP(R21,result_failure_DB,1,FALSE),VLOOKUP(S21,result_failure_DB,2,FALSE))))</f>
        <v>keine Unterhaltung (Filme, Musik, Social Media)
Verlust der Kontrolle von IoT Geräten</v>
      </c>
      <c r="E21" s="188" t="str">
        <f>CONCATENATE(IF(T21="","",IF(FMEA_Short_Long=0,VLOOKUP(T21,cause_failure_DB,1,FALSE),VLOOKUP(T21,cause_failure_DB,2,FALSE))),IF(U21="","",IF(FMEA_Short_Long=0,"; ",CHAR(10))),IF(U21="","",IF(FMEA_Short_Long=0,VLOOKUP(U21,cause_failure_DB,1,FALSE),VLOOKUP(U21,cause_failure_DB,2,FALSE))),,IF(V21="","",IF(FMEA_Short_Long=0,"; ",CHAR(10))),IF(V21="","",IF(FMEA_Short_Long=0,VLOOKUP(U21,cause_failure_DB,1,FALSE),VLOOKUP(V21,cause_failure_DB,2,FALSE))))</f>
        <v>zufälliger Ausfall (Ausfallrate)</v>
      </c>
      <c r="F21" s="189">
        <v>4</v>
      </c>
      <c r="G21" s="189">
        <v>6</v>
      </c>
      <c r="H21" s="190">
        <f>IF(OR(F21="",G21=""),"",F21*G21)</f>
        <v>24</v>
      </c>
      <c r="I21" s="243" t="str">
        <f>IF(OR(F21="",G21=""),"",IF(FMEA_Accept(F21,G21)=0,VLOOKUP(5001,LANGUAGE_DB,2,FALSE),VLOOKUP(5000,LANGUAGE_DB,2,FALSE)))</f>
        <v>Ja</v>
      </c>
      <c r="J21" s="244"/>
      <c r="K21" s="91" t="s">
        <v>14</v>
      </c>
      <c r="M21" s="51" t="s">
        <v>579</v>
      </c>
      <c r="N21" s="51" t="s">
        <v>580</v>
      </c>
      <c r="O21" s="51"/>
      <c r="P21" s="51"/>
      <c r="Q21" s="51" t="s">
        <v>598</v>
      </c>
      <c r="R21" s="51" t="s">
        <v>599</v>
      </c>
      <c r="S21" s="51"/>
      <c r="T21" s="51" t="s">
        <v>595</v>
      </c>
      <c r="U21" s="51"/>
      <c r="V21" s="51"/>
      <c r="W21" s="165">
        <f>_xlfn.NUMBERVALUE(IFERROR(F21,"0"))</f>
        <v>4</v>
      </c>
      <c r="X21" s="165">
        <f t="shared" si="2"/>
        <v>6</v>
      </c>
      <c r="Y21" s="124" t="str">
        <f>CONCATENATE(W21,";",X21)</f>
        <v>4;6</v>
      </c>
      <c r="Z21" s="124">
        <f t="shared" si="3"/>
        <v>1</v>
      </c>
      <c r="AA21" s="124" t="str">
        <f t="shared" si="4"/>
        <v>ID=4</v>
      </c>
    </row>
    <row r="22" spans="1:27" s="53" customFormat="1" ht="33.75" x14ac:dyDescent="0.2">
      <c r="A22" s="187">
        <f t="shared" si="1"/>
        <v>5</v>
      </c>
      <c r="B22" s="242" t="str">
        <f t="shared" ref="B22" si="5">IF(M22="","",IF(FMEA_Short_Long=0,VLOOKUP(M22,Asset_DB,1,FALSE),VLOOKUP(M22,Asset_DB,2,FALSE)))</f>
        <v>lokaler Datenspeicher</v>
      </c>
      <c r="C22" s="188" t="str">
        <f t="shared" ref="C22" si="6">CONCATENATE(IF(N22="","",IF(FMEA_Short_Long=0,VLOOKUP(N22,potential_failure_DB,1,FALSE),VLOOKUP(N22,potential_failure_DB,2,FALSE))),IF(O22="","",IF(FMEA_Short_Long=0,"; ",CHAR(10))),IF(O22="","",IF(FMEA_Short_Long=0,VLOOKUP(O22,potential_failure_DB,1,FALSE),VLOOKUP(O22,potential_failure_DB,2,FALSE))),,IF(P22="","",IF(FMEA_Short_Long=0,"; ",CHAR(10))),IF(P22="","",IF(FMEA_Short_Long=0,VLOOKUP(O22,potential_failure_DB,1,FALSE),VLOOKUP(P22,potential_failure_DB,2,FALSE))))</f>
        <v>Hardware Ausfall (ohne Fremdeinwirkung)</v>
      </c>
      <c r="D22" s="188" t="str">
        <f t="shared" ref="D22" si="7">CONCATENATE(IF(Q22="","",IF(FMEA_Short_Long=0,VLOOKUP(Q22,result_failure_DB,1,FALSE),VLOOKUP(Q22,result_failure_DB,2,FALSE))),IF(R22="","",IF(FMEA_Short_Long=0,"; ",CHAR(10))),IF(R22="","",IF(FMEA_Short_Long=0,VLOOKUP(R22,result_failure_DB,1,FALSE),VLOOKUP(R22,result_failure_DB,2,FALSE))),,IF(S22="","",IF(FMEA_Short_Long=0,"; ",CHAR(10))),IF(S22="","",IF(FMEA_Short_Long=0,VLOOKUP(R22,result_failure_DB,1,FALSE),VLOOKUP(S22,result_failure_DB,2,FALSE))))</f>
        <v>Datenverlust</v>
      </c>
      <c r="E22" s="188" t="str">
        <f t="shared" ref="E22" si="8">CONCATENATE(IF(T22="","",IF(FMEA_Short_Long=0,VLOOKUP(T22,cause_failure_DB,1,FALSE),VLOOKUP(T22,cause_failure_DB,2,FALSE))),IF(U22="","",IF(FMEA_Short_Long=0,"; ",CHAR(10))),IF(U22="","",IF(FMEA_Short_Long=0,VLOOKUP(U22,cause_failure_DB,1,FALSE),VLOOKUP(U22,cause_failure_DB,2,FALSE))),,IF(V22="","",IF(FMEA_Short_Long=0,"; ",CHAR(10))),IF(V22="","",IF(FMEA_Short_Long=0,VLOOKUP(U22,cause_failure_DB,1,FALSE),VLOOKUP(V22,cause_failure_DB,2,FALSE))))</f>
        <v>zufälliger Ausfall (Ausfallrate)
Hardware zu alt
keine Datenredundanz</v>
      </c>
      <c r="F22" s="189">
        <v>5</v>
      </c>
      <c r="G22" s="189">
        <v>7</v>
      </c>
      <c r="H22" s="190">
        <f t="shared" ref="H22" si="9">IF(OR(F22="",G22=""),"",F22*G22)</f>
        <v>35</v>
      </c>
      <c r="I22" s="243" t="str">
        <f>IF(OR(F22="",G22=""),"",IF(FMEA_Accept(F22,G22)=0,VLOOKUP(5001,LANGUAGE_DB,2,FALSE),VLOOKUP(5000,LANGUAGE_DB,2,FALSE)))</f>
        <v>Nein</v>
      </c>
      <c r="J22" s="244"/>
      <c r="K22" s="91" t="s">
        <v>14</v>
      </c>
      <c r="M22" s="51" t="s">
        <v>600</v>
      </c>
      <c r="N22" s="51" t="s">
        <v>580</v>
      </c>
      <c r="O22" s="51"/>
      <c r="P22" s="51"/>
      <c r="Q22" s="51" t="s">
        <v>528</v>
      </c>
      <c r="R22" s="51"/>
      <c r="S22" s="51"/>
      <c r="T22" s="51" t="s">
        <v>595</v>
      </c>
      <c r="U22" s="51" t="s">
        <v>601</v>
      </c>
      <c r="V22" s="51" t="s">
        <v>606</v>
      </c>
      <c r="W22" s="165">
        <f>_xlfn.NUMBERVALUE(IFERROR(F22,"0"))</f>
        <v>5</v>
      </c>
      <c r="X22" s="165">
        <f t="shared" si="2"/>
        <v>7</v>
      </c>
      <c r="Y22" s="124" t="str">
        <f t="shared" ref="Y22" si="10">CONCATENATE(W22,";",X22)</f>
        <v>5;7</v>
      </c>
      <c r="Z22" s="124">
        <f t="shared" si="3"/>
        <v>1</v>
      </c>
      <c r="AA22" s="124" t="str">
        <f t="shared" si="4"/>
        <v>ID=5</v>
      </c>
    </row>
    <row r="23" spans="1:27" s="53" customFormat="1" ht="22.5" x14ac:dyDescent="0.2">
      <c r="A23" s="187">
        <f t="shared" si="1"/>
        <v>6</v>
      </c>
      <c r="B23" s="242" t="str">
        <f t="shared" ref="B23:B30" si="11">IF(M23="","",IF(FMEA_Short_Long=0,VLOOKUP(M23,Asset_DB,1,FALSE),VLOOKUP(M23,Asset_DB,2,FALSE)))</f>
        <v>komplettes Smart Home System</v>
      </c>
      <c r="C23" s="188" t="str">
        <f t="shared" ref="C23:C37" si="12">CONCATENATE(IF(N23="","",IF(FMEA_Short_Long=0,VLOOKUP(N23,potential_failure_DB,1,FALSE),VLOOKUP(N23,potential_failure_DB,2,FALSE))),IF(O23="","",IF(FMEA_Short_Long=0,"; ",CHAR(10))),IF(O23="","",IF(FMEA_Short_Long=0,VLOOKUP(O23,potential_failure_DB,1,FALSE),VLOOKUP(O23,potential_failure_DB,2,FALSE))),,IF(P23="","",IF(FMEA_Short_Long=0,"; ",CHAR(10))),IF(P23="","",IF(FMEA_Short_Long=0,VLOOKUP(O23,potential_failure_DB,1,FALSE),VLOOKUP(P23,potential_failure_DB,2,FALSE))))</f>
        <v>fehlende Stromzuführung</v>
      </c>
      <c r="D23" s="188" t="str">
        <f t="shared" ref="D23:D37" si="13">CONCATENATE(IF(Q23="","",IF(FMEA_Short_Long=0,VLOOKUP(Q23,result_failure_DB,1,FALSE),VLOOKUP(Q23,result_failure_DB,2,FALSE))),IF(R23="","",IF(FMEA_Short_Long=0,"; ",CHAR(10))),IF(R23="","",IF(FMEA_Short_Long=0,VLOOKUP(R23,result_failure_DB,1,FALSE),VLOOKUP(R23,result_failure_DB,2,FALSE))),,IF(S23="","",IF(FMEA_Short_Long=0,"; ",CHAR(10))),IF(S23="","",IF(FMEA_Short_Long=0,VLOOKUP(R23,result_failure_DB,1,FALSE),VLOOKUP(S23,result_failure_DB,2,FALSE))))</f>
        <v>kompletter Stromausfall für mehrere Stunden
M2M Kommunikation nicht möglich</v>
      </c>
      <c r="E23" s="188" t="str">
        <f t="shared" ref="E23:E37" si="14">CONCATENATE(IF(T23="","",IF(FMEA_Short_Long=0,VLOOKUP(T23,cause_failure_DB,1,FALSE),VLOOKUP(T23,cause_failure_DB,2,FALSE))),IF(U23="","",IF(FMEA_Short_Long=0,"; ",CHAR(10))),IF(U23="","",IF(FMEA_Short_Long=0,VLOOKUP(U23,cause_failure_DB,1,FALSE),VLOOKUP(U23,cause_failure_DB,2,FALSE))),,IF(V23="","",IF(FMEA_Short_Long=0,"; ",CHAR(10))),IF(V23="","",IF(FMEA_Short_Long=0,VLOOKUP(U23,cause_failure_DB,1,FALSE),VLOOKUP(V23,cause_failure_DB,2,FALSE))))</f>
        <v>Unfall bei Bauarbeiten
Drittanbieter Opfer von Cybercrime</v>
      </c>
      <c r="F23" s="189">
        <v>2</v>
      </c>
      <c r="G23" s="189">
        <v>9</v>
      </c>
      <c r="H23" s="190">
        <f t="shared" ref="H23:H37" si="15">IF(OR(F23="",G23=""),"",F23*G23)</f>
        <v>18</v>
      </c>
      <c r="I23" s="243" t="str">
        <f>IF(OR(F23="",G23=""),"",IF(FMEA_Accept(F23,G23)=0,VLOOKUP(5001,LANGUAGE_DB,2,FALSE),VLOOKUP(5000,LANGUAGE_DB,2,FALSE)))</f>
        <v>Ja</v>
      </c>
      <c r="J23" s="244"/>
      <c r="K23" s="91" t="s">
        <v>14</v>
      </c>
      <c r="M23" s="52" t="s">
        <v>604</v>
      </c>
      <c r="N23" s="51" t="s">
        <v>605</v>
      </c>
      <c r="O23" s="51"/>
      <c r="P23" s="51"/>
      <c r="Q23" s="51" t="s">
        <v>610</v>
      </c>
      <c r="R23" s="51" t="s">
        <v>732</v>
      </c>
      <c r="S23" s="51"/>
      <c r="T23" s="51" t="s">
        <v>608</v>
      </c>
      <c r="U23" s="51" t="s">
        <v>736</v>
      </c>
      <c r="V23" s="51"/>
      <c r="W23" s="165">
        <f>_xlfn.NUMBERVALUE(IFERROR(F23,"0"))</f>
        <v>2</v>
      </c>
      <c r="X23" s="165">
        <f t="shared" si="2"/>
        <v>9</v>
      </c>
      <c r="Y23" s="124" t="str">
        <f t="shared" ref="Y23:Y37" si="16">CONCATENATE(W23,";",X23)</f>
        <v>2;9</v>
      </c>
      <c r="Z23" s="124">
        <f t="shared" si="3"/>
        <v>1</v>
      </c>
      <c r="AA23" s="124" t="str">
        <f t="shared" si="4"/>
        <v>ID=6</v>
      </c>
    </row>
    <row r="24" spans="1:27" s="53" customFormat="1" ht="33.75" x14ac:dyDescent="0.2">
      <c r="A24" s="187">
        <f t="shared" si="1"/>
        <v>7</v>
      </c>
      <c r="B24" s="242" t="str">
        <f t="shared" si="11"/>
        <v>Waschmaschine</v>
      </c>
      <c r="C24" s="188" t="str">
        <f t="shared" si="12"/>
        <v>nicht gewünschte Ausführungen von Funktionen
kleinere Fehlfunktionen</v>
      </c>
      <c r="D24" s="188" t="str">
        <f t="shared" si="13"/>
        <v>Waschen nicht mehr möglich
Gerät nicht unter Kontrolle</v>
      </c>
      <c r="E24" s="188" t="str">
        <f t="shared" si="14"/>
        <v>Hackerangriff
Sicherheitslücke infolge nicht eingespielter Updates</v>
      </c>
      <c r="F24" s="189">
        <v>2</v>
      </c>
      <c r="G24" s="189">
        <v>4</v>
      </c>
      <c r="H24" s="190">
        <f t="shared" ref="H24:H25" si="17">IF(OR(F24="",G24=""),"",F24*G24)</f>
        <v>8</v>
      </c>
      <c r="I24" s="243" t="str">
        <f>IF(OR(F24="",G24=""),"",IF(FMEA_Accept(F24,G24)=0,VLOOKUP(5001,LANGUAGE_DB,2,FALSE),VLOOKUP(5000,LANGUAGE_DB,2,FALSE)))</f>
        <v>Ja</v>
      </c>
      <c r="J24" s="244"/>
      <c r="K24" s="91" t="s">
        <v>14</v>
      </c>
      <c r="M24" s="52" t="s">
        <v>630</v>
      </c>
      <c r="N24" s="51" t="s">
        <v>637</v>
      </c>
      <c r="O24" s="51" t="s">
        <v>638</v>
      </c>
      <c r="P24" s="51"/>
      <c r="Q24" s="51" t="s">
        <v>632</v>
      </c>
      <c r="R24" s="51" t="s">
        <v>639</v>
      </c>
      <c r="S24" s="51"/>
      <c r="T24" s="51" t="s">
        <v>633</v>
      </c>
      <c r="U24" s="51" t="s">
        <v>634</v>
      </c>
      <c r="V24" s="51"/>
      <c r="W24" s="165">
        <f>_xlfn.NUMBERVALUE(IFERROR(F24,"0"))</f>
        <v>2</v>
      </c>
      <c r="X24" s="165">
        <f t="shared" si="2"/>
        <v>4</v>
      </c>
      <c r="Y24" s="124" t="str">
        <f t="shared" si="16"/>
        <v>2;4</v>
      </c>
      <c r="Z24" s="124">
        <f t="shared" si="3"/>
        <v>1</v>
      </c>
      <c r="AA24" s="124" t="str">
        <f t="shared" si="4"/>
        <v>ID=7</v>
      </c>
    </row>
    <row r="25" spans="1:27" s="53" customFormat="1" ht="45" x14ac:dyDescent="0.2">
      <c r="A25" s="187">
        <f t="shared" si="1"/>
        <v>8</v>
      </c>
      <c r="B25" s="242" t="str">
        <f t="shared" si="11"/>
        <v>e-Health Geräte</v>
      </c>
      <c r="C25" s="188" t="str">
        <f t="shared" si="12"/>
        <v>grosse Fehlfunktionen
falsche Datenausgaben</v>
      </c>
      <c r="D25" s="188" t="str">
        <f t="shared" si="13"/>
        <v>Gefährdung der persönlichen Gesundheit
Gefährdung des eigenen Lebens</v>
      </c>
      <c r="E25" s="188" t="str">
        <f t="shared" si="14"/>
        <v>Abhängigkeit von Drittanbieter
Hackerangriff
Sicherheitslücke infolge nicht eingespielter Updates</v>
      </c>
      <c r="F25" s="189">
        <v>2</v>
      </c>
      <c r="G25" s="189">
        <v>10</v>
      </c>
      <c r="H25" s="190">
        <f t="shared" si="17"/>
        <v>20</v>
      </c>
      <c r="I25" s="243" t="str">
        <f>IF(OR(F25="",G25=""),"",IF(FMEA_Accept(F25,G25)=0,VLOOKUP(5001,LANGUAGE_DB,2,FALSE),VLOOKUP(5000,LANGUAGE_DB,2,FALSE)))</f>
        <v>Nein</v>
      </c>
      <c r="J25" s="244"/>
      <c r="K25" s="91" t="s">
        <v>14</v>
      </c>
      <c r="M25" s="52" t="s">
        <v>643</v>
      </c>
      <c r="N25" s="51" t="s">
        <v>648</v>
      </c>
      <c r="O25" s="51" t="s">
        <v>752</v>
      </c>
      <c r="P25" s="51"/>
      <c r="Q25" s="51" t="s">
        <v>653</v>
      </c>
      <c r="R25" s="51" t="s">
        <v>654</v>
      </c>
      <c r="S25" s="51"/>
      <c r="T25" s="51" t="s">
        <v>642</v>
      </c>
      <c r="U25" s="51" t="s">
        <v>633</v>
      </c>
      <c r="V25" s="51" t="s">
        <v>634</v>
      </c>
      <c r="W25" s="165">
        <f>_xlfn.NUMBERVALUE(IFERROR(F25,"0"))+0.2</f>
        <v>2.2000000000000002</v>
      </c>
      <c r="X25" s="165">
        <f t="shared" si="2"/>
        <v>10</v>
      </c>
      <c r="Y25" s="124" t="str">
        <f t="shared" si="16"/>
        <v>2.2;10</v>
      </c>
      <c r="Z25" s="124">
        <f t="shared" si="3"/>
        <v>1</v>
      </c>
      <c r="AA25" s="124" t="str">
        <f t="shared" si="4"/>
        <v>ID=8</v>
      </c>
    </row>
    <row r="26" spans="1:27" s="53" customFormat="1" ht="33.75" x14ac:dyDescent="0.2">
      <c r="A26" s="187">
        <f t="shared" si="1"/>
        <v>9</v>
      </c>
      <c r="B26" s="242" t="str">
        <f t="shared" si="11"/>
        <v>online Konten</v>
      </c>
      <c r="C26" s="188" t="str">
        <f t="shared" si="12"/>
        <v>Diebstahl</v>
      </c>
      <c r="D26" s="188" t="str">
        <f t="shared" si="13"/>
        <v>finanzieller Schaden (nicht bezifferbar)
Diebstahl von privaten Daten</v>
      </c>
      <c r="E26" s="188" t="str">
        <f t="shared" si="14"/>
        <v>leicht zu erratende Passwörter
Verwendung von globalen Passwörtern
Opfer von Phishing</v>
      </c>
      <c r="F26" s="189">
        <v>2</v>
      </c>
      <c r="G26" s="189">
        <v>8</v>
      </c>
      <c r="H26" s="190">
        <f t="shared" si="15"/>
        <v>16</v>
      </c>
      <c r="I26" s="243" t="str">
        <f>IF(OR(F26="",G26=""),"",IF(FMEA_Accept(F26,G26)=0,VLOOKUP(5001,LANGUAGE_DB,2,FALSE),VLOOKUP(5000,LANGUAGE_DB,2,FALSE)))</f>
        <v>Ja</v>
      </c>
      <c r="J26" s="244"/>
      <c r="K26" s="91" t="s">
        <v>14</v>
      </c>
      <c r="M26" s="52" t="s">
        <v>665</v>
      </c>
      <c r="N26" s="51" t="s">
        <v>705</v>
      </c>
      <c r="O26" s="51"/>
      <c r="P26" s="51"/>
      <c r="Q26" s="51" t="s">
        <v>668</v>
      </c>
      <c r="R26" s="51" t="s">
        <v>673</v>
      </c>
      <c r="S26" s="51"/>
      <c r="T26" s="51" t="s">
        <v>659</v>
      </c>
      <c r="U26" s="51" t="s">
        <v>660</v>
      </c>
      <c r="V26" s="51" t="s">
        <v>674</v>
      </c>
      <c r="W26" s="165">
        <f t="shared" ref="W26:W31" si="18">_xlfn.NUMBERVALUE(IFERROR(F26,"0"))</f>
        <v>2</v>
      </c>
      <c r="X26" s="165">
        <f t="shared" si="2"/>
        <v>8</v>
      </c>
      <c r="Y26" s="124" t="str">
        <f t="shared" si="16"/>
        <v>2;8</v>
      </c>
      <c r="Z26" s="124">
        <f t="shared" si="3"/>
        <v>1</v>
      </c>
      <c r="AA26" s="124" t="str">
        <f t="shared" si="4"/>
        <v>ID=9</v>
      </c>
    </row>
    <row r="27" spans="1:27" s="53" customFormat="1" ht="33.75" x14ac:dyDescent="0.2">
      <c r="A27" s="187">
        <f t="shared" si="1"/>
        <v>10</v>
      </c>
      <c r="B27" s="242" t="str">
        <f t="shared" si="11"/>
        <v>Kommunikation zwischen IoT Geräten</v>
      </c>
      <c r="C27" s="188" t="str">
        <f t="shared" si="12"/>
        <v>Ausfall WLAN Infrastruktur</v>
      </c>
      <c r="D27" s="188" t="str">
        <f t="shared" si="13"/>
        <v>einzelne IoT Geräte nicht erreichbar
Smart Home System nicht steuerbar</v>
      </c>
      <c r="E27" s="188" t="str">
        <f t="shared" si="14"/>
        <v>zufälliger Ausfall (Ausfallrate)
Hardware zu alt
Abhängigkeit von Drittanbieter</v>
      </c>
      <c r="F27" s="189">
        <v>3</v>
      </c>
      <c r="G27" s="189">
        <v>5</v>
      </c>
      <c r="H27" s="190">
        <f t="shared" si="15"/>
        <v>15</v>
      </c>
      <c r="I27" s="243" t="str">
        <f>IF(OR(F27="",G27=""),"",IF(FMEA_Accept(F27,G27)=0,VLOOKUP(5001,LANGUAGE_DB,2,FALSE),VLOOKUP(5000,LANGUAGE_DB,2,FALSE)))</f>
        <v>Ja</v>
      </c>
      <c r="J27" s="244"/>
      <c r="K27" s="91" t="s">
        <v>14</v>
      </c>
      <c r="M27" s="52" t="s">
        <v>679</v>
      </c>
      <c r="N27" s="51" t="s">
        <v>682</v>
      </c>
      <c r="O27" s="51"/>
      <c r="P27" s="51"/>
      <c r="Q27" s="51" t="s">
        <v>687</v>
      </c>
      <c r="R27" s="51" t="s">
        <v>688</v>
      </c>
      <c r="S27" s="51"/>
      <c r="T27" s="51" t="s">
        <v>595</v>
      </c>
      <c r="U27" s="51" t="s">
        <v>601</v>
      </c>
      <c r="V27" s="51" t="s">
        <v>642</v>
      </c>
      <c r="W27" s="165">
        <f t="shared" si="18"/>
        <v>3</v>
      </c>
      <c r="X27" s="165">
        <f t="shared" si="2"/>
        <v>5</v>
      </c>
      <c r="Y27" s="124" t="str">
        <f t="shared" si="16"/>
        <v>3;5</v>
      </c>
      <c r="Z27" s="124">
        <f t="shared" si="3"/>
        <v>1</v>
      </c>
      <c r="AA27" s="124" t="str">
        <f t="shared" si="4"/>
        <v>ID=10</v>
      </c>
    </row>
    <row r="28" spans="1:27" s="53" customFormat="1" ht="33.75" x14ac:dyDescent="0.2">
      <c r="A28" s="187">
        <f t="shared" si="1"/>
        <v>11</v>
      </c>
      <c r="B28" s="242" t="str">
        <f t="shared" ref="B28" si="19">IF(M28="","",IF(FMEA_Short_Long=0,VLOOKUP(M28,Asset_DB,1,FALSE),VLOOKUP(M28,Asset_DB,2,FALSE)))</f>
        <v>Internet Anbindung</v>
      </c>
      <c r="C28" s="188" t="str">
        <f t="shared" ref="C28" si="20">CONCATENATE(IF(N28="","",IF(FMEA_Short_Long=0,VLOOKUP(N28,potential_failure_DB,1,FALSE),VLOOKUP(N28,potential_failure_DB,2,FALSE))),IF(O28="","",IF(FMEA_Short_Long=0,"; ",CHAR(10))),IF(O28="","",IF(FMEA_Short_Long=0,VLOOKUP(O28,potential_failure_DB,1,FALSE),VLOOKUP(O28,potential_failure_DB,2,FALSE))),,IF(P28="","",IF(FMEA_Short_Long=0,"; ",CHAR(10))),IF(P28="","",IF(FMEA_Short_Long=0,VLOOKUP(O28,potential_failure_DB,1,FALSE),VLOOKUP(P28,potential_failure_DB,2,FALSE))))</f>
        <v>Drittanbieter kann Dienst nicht zur Verfügung stellen</v>
      </c>
      <c r="D28" s="188" t="str">
        <f t="shared" ref="D28" si="21">CONCATENATE(IF(Q28="","",IF(FMEA_Short_Long=0,VLOOKUP(Q28,result_failure_DB,1,FALSE),VLOOKUP(Q28,result_failure_DB,2,FALSE))),IF(R28="","",IF(FMEA_Short_Long=0,"; ",CHAR(10))),IF(R28="","",IF(FMEA_Short_Long=0,VLOOKUP(R28,result_failure_DB,1,FALSE),VLOOKUP(R28,result_failure_DB,2,FALSE))),,IF(S28="","",IF(FMEA_Short_Long=0,"; ",CHAR(10))),IF(S28="","",IF(FMEA_Short_Long=0,VLOOKUP(R28,result_failure_DB,1,FALSE),VLOOKUP(S28,result_failure_DB,2,FALSE))))</f>
        <v>kein Remotezugriff auf System möglich
M2M Kommunikation nicht möglich</v>
      </c>
      <c r="E28" s="188" t="str">
        <f t="shared" ref="E28" si="22">CONCATENATE(IF(T28="","",IF(FMEA_Short_Long=0,VLOOKUP(T28,cause_failure_DB,1,FALSE),VLOOKUP(T28,cause_failure_DB,2,FALSE))),IF(U28="","",IF(FMEA_Short_Long=0,"; ",CHAR(10))),IF(U28="","",IF(FMEA_Short_Long=0,VLOOKUP(U28,cause_failure_DB,1,FALSE),VLOOKUP(U28,cause_failure_DB,2,FALSE))),,IF(V28="","",IF(FMEA_Short_Long=0,"; ",CHAR(10))),IF(V28="","",IF(FMEA_Short_Long=0,VLOOKUP(U28,cause_failure_DB,1,FALSE),VLOOKUP(V28,cause_failure_DB,2,FALSE))))</f>
        <v>Drittanbieter Opfer von Cybercrime
Unfall bei Bauarbeiten
nicht böswilliges menschliches Fehlverhalten</v>
      </c>
      <c r="F28" s="189">
        <v>5</v>
      </c>
      <c r="G28" s="189">
        <v>2</v>
      </c>
      <c r="H28" s="190">
        <f t="shared" ref="H28" si="23">IF(OR(F28="",G28=""),"",F28*G28)</f>
        <v>10</v>
      </c>
      <c r="I28" s="243" t="str">
        <f>IF(OR(F28="",G28=""),"",IF(FMEA_Accept(F28,G28)=0,VLOOKUP(5001,LANGUAGE_DB,2,FALSE),VLOOKUP(5000,LANGUAGE_DB,2,FALSE)))</f>
        <v>Ja</v>
      </c>
      <c r="J28" s="244" t="s">
        <v>741</v>
      </c>
      <c r="K28" s="91" t="s">
        <v>14</v>
      </c>
      <c r="M28" s="52" t="s">
        <v>723</v>
      </c>
      <c r="N28" s="51" t="s">
        <v>739</v>
      </c>
      <c r="O28" s="51"/>
      <c r="P28" s="51"/>
      <c r="Q28" s="51" t="s">
        <v>729</v>
      </c>
      <c r="R28" s="51" t="s">
        <v>732</v>
      </c>
      <c r="S28" s="51"/>
      <c r="T28" s="51" t="s">
        <v>736</v>
      </c>
      <c r="U28" s="51" t="s">
        <v>608</v>
      </c>
      <c r="V28" s="51" t="s">
        <v>740</v>
      </c>
      <c r="W28" s="165">
        <f t="shared" si="18"/>
        <v>5</v>
      </c>
      <c r="X28" s="165">
        <f t="shared" si="2"/>
        <v>2</v>
      </c>
      <c r="Y28" s="124" t="str">
        <f t="shared" ref="Y28" si="24">CONCATENATE(W28,";",X28)</f>
        <v>5;2</v>
      </c>
      <c r="Z28" s="124">
        <f t="shared" si="3"/>
        <v>1</v>
      </c>
      <c r="AA28" s="124" t="str">
        <f t="shared" si="4"/>
        <v>ID=11</v>
      </c>
    </row>
    <row r="29" spans="1:27" s="53" customFormat="1" ht="45" x14ac:dyDescent="0.2">
      <c r="A29" s="187">
        <f t="shared" si="1"/>
        <v>12</v>
      </c>
      <c r="B29" s="242" t="str">
        <f t="shared" si="11"/>
        <v>Schliesssysteme</v>
      </c>
      <c r="C29" s="188" t="str">
        <f t="shared" ref="C29:C30" si="25">CONCATENATE(IF(N29="","",IF(FMEA_Short_Long=0,VLOOKUP(N29,potential_failure_DB,1,FALSE),VLOOKUP(N29,potential_failure_DB,2,FALSE))),IF(O29="","",IF(FMEA_Short_Long=0,"; ",CHAR(10))),IF(O29="","",IF(FMEA_Short_Long=0,VLOOKUP(O29,potential_failure_DB,1,FALSE),VLOOKUP(O29,potential_failure_DB,2,FALSE))),,IF(P29="","",IF(FMEA_Short_Long=0,"; ",CHAR(10))),IF(P29="","",IF(FMEA_Short_Long=0,VLOOKUP(O29,potential_failure_DB,1,FALSE),VLOOKUP(P29,potential_failure_DB,2,FALSE))))</f>
        <v>Kompromittierung
kein Zutritt zum eigenen Wohnheim</v>
      </c>
      <c r="D29" s="188" t="str">
        <f t="shared" ref="D29:D30" si="26">CONCATENATE(IF(Q29="","",IF(FMEA_Short_Long=0,VLOOKUP(Q29,result_failure_DB,1,FALSE),VLOOKUP(Q29,result_failure_DB,2,FALSE))),IF(R29="","",IF(FMEA_Short_Long=0,"; ",CHAR(10))),IF(R29="","",IF(FMEA_Short_Long=0,VLOOKUP(R29,result_failure_DB,1,FALSE),VLOOKUP(R29,result_failure_DB,2,FALSE))),,IF(S29="","",IF(FMEA_Short_Long=0,"; ",CHAR(10))),IF(S29="","",IF(FMEA_Short_Long=0,VLOOKUP(R29,result_failure_DB,1,FALSE),VLOOKUP(S29,result_failure_DB,2,FALSE))))</f>
        <v>Drittpersonen haben physischen Zutritt
finanzieller Schaden (nicht bezifferbar)</v>
      </c>
      <c r="E29" s="188" t="str">
        <f t="shared" ref="E29:E30" si="27">CONCATENATE(IF(T29="","",IF(FMEA_Short_Long=0,VLOOKUP(T29,cause_failure_DB,1,FALSE),VLOOKUP(T29,cause_failure_DB,2,FALSE))),IF(U29="","",IF(FMEA_Short_Long=0,"; ",CHAR(10))),IF(U29="","",IF(FMEA_Short_Long=0,VLOOKUP(U29,cause_failure_DB,1,FALSE),VLOOKUP(U29,cause_failure_DB,2,FALSE))),,IF(V29="","",IF(FMEA_Short_Long=0,"; ",CHAR(10))),IF(V29="","",IF(FMEA_Short_Long=0,VLOOKUP(U29,cause_failure_DB,1,FALSE),VLOOKUP(V29,cause_failure_DB,2,FALSE))))</f>
        <v>möglicher Remotezugang
Nutzung Admin Account wo nicht notwendig
Sicherheitslücke infolge nicht eingespielter Updates</v>
      </c>
      <c r="F29" s="189">
        <v>2</v>
      </c>
      <c r="G29" s="189">
        <v>10</v>
      </c>
      <c r="H29" s="190">
        <f t="shared" si="15"/>
        <v>20</v>
      </c>
      <c r="I29" s="243" t="str">
        <f>IF(OR(F29="",G29=""),"",IF(FMEA_Accept(F29,G29)=0,VLOOKUP(5001,LANGUAGE_DB,2,FALSE),VLOOKUP(5000,LANGUAGE_DB,2,FALSE)))</f>
        <v>Nein</v>
      </c>
      <c r="J29" s="244"/>
      <c r="K29" s="91" t="s">
        <v>14</v>
      </c>
      <c r="M29" s="52" t="s">
        <v>756</v>
      </c>
      <c r="N29" s="51" t="s">
        <v>767</v>
      </c>
      <c r="O29" s="51" t="s">
        <v>770</v>
      </c>
      <c r="P29" s="51"/>
      <c r="Q29" s="51" t="s">
        <v>762</v>
      </c>
      <c r="R29" s="51" t="s">
        <v>668</v>
      </c>
      <c r="S29" s="51"/>
      <c r="T29" s="51" t="s">
        <v>759</v>
      </c>
      <c r="U29" s="51" t="s">
        <v>764</v>
      </c>
      <c r="V29" s="51" t="s">
        <v>634</v>
      </c>
      <c r="W29" s="165">
        <f t="shared" si="18"/>
        <v>2</v>
      </c>
      <c r="X29" s="165">
        <f t="shared" si="2"/>
        <v>10</v>
      </c>
      <c r="Y29" s="124" t="str">
        <f t="shared" si="16"/>
        <v>2;10</v>
      </c>
      <c r="Z29" s="124">
        <f t="shared" si="3"/>
        <v>1</v>
      </c>
      <c r="AA29" s="124" t="str">
        <f t="shared" si="4"/>
        <v>ID=12</v>
      </c>
    </row>
    <row r="30" spans="1:27" s="53" customFormat="1" ht="45" x14ac:dyDescent="0.2">
      <c r="A30" s="199">
        <f t="shared" si="1"/>
        <v>13</v>
      </c>
      <c r="B30" s="245" t="str">
        <f t="shared" si="11"/>
        <v>Videoüberwachung</v>
      </c>
      <c r="C30" s="200" t="str">
        <f t="shared" si="25"/>
        <v>Kompromittierung von Dritthersteller
private Daten in falschen Händen</v>
      </c>
      <c r="D30" s="200" t="str">
        <f t="shared" si="26"/>
        <v>Verletzung der Privatsphäre</v>
      </c>
      <c r="E30" s="200" t="str">
        <f t="shared" si="27"/>
        <v>Abhängigkeit von externen Clouddiensten
Drittanbieter Opfer von Cybercrime
Fehlendes Sicherheitsdesign durch den Hersteller</v>
      </c>
      <c r="F30" s="201">
        <v>2</v>
      </c>
      <c r="G30" s="201">
        <v>7</v>
      </c>
      <c r="H30" s="202">
        <f t="shared" si="15"/>
        <v>14</v>
      </c>
      <c r="I30" s="246" t="str">
        <f>IF(OR(F30="",G30=""),"",IF(FMEA_Accept(F30,G30)=0,VLOOKUP(5001,LANGUAGE_DB,2,FALSE),VLOOKUP(5000,LANGUAGE_DB,2,FALSE)))</f>
        <v>Ja</v>
      </c>
      <c r="J30" s="247" t="s">
        <v>786</v>
      </c>
      <c r="K30" s="91" t="s">
        <v>14</v>
      </c>
      <c r="M30" s="52" t="s">
        <v>785</v>
      </c>
      <c r="N30" s="51" t="s">
        <v>790</v>
      </c>
      <c r="O30" s="51" t="s">
        <v>693</v>
      </c>
      <c r="P30" s="51"/>
      <c r="Q30" s="51" t="s">
        <v>787</v>
      </c>
      <c r="R30" s="51"/>
      <c r="S30" s="51"/>
      <c r="T30" s="51" t="s">
        <v>788</v>
      </c>
      <c r="U30" s="51" t="s">
        <v>736</v>
      </c>
      <c r="V30" s="51" t="s">
        <v>789</v>
      </c>
      <c r="W30" s="165">
        <f t="shared" si="18"/>
        <v>2</v>
      </c>
      <c r="X30" s="165">
        <f t="shared" si="2"/>
        <v>7</v>
      </c>
      <c r="Y30" s="124" t="str">
        <f t="shared" si="16"/>
        <v>2;7</v>
      </c>
      <c r="Z30" s="124">
        <f t="shared" si="3"/>
        <v>1</v>
      </c>
      <c r="AA30" s="124" t="str">
        <f t="shared" si="4"/>
        <v>ID=13</v>
      </c>
    </row>
    <row r="31" spans="1:27" s="53" customFormat="1" ht="34.5" thickBot="1" x14ac:dyDescent="0.25">
      <c r="A31" s="191">
        <f t="shared" si="1"/>
        <v>14</v>
      </c>
      <c r="B31" s="248" t="str">
        <f>IF(M31="","",IF(FMEA_Short_Long=0,VLOOKUP(M31,Asset_DB,1,FALSE),VLOOKUP(M31,Asset_DB,2,FALSE)))</f>
        <v>Auto</v>
      </c>
      <c r="C31" s="192" t="str">
        <f t="shared" si="12"/>
        <v>Kompromittierung von Dritthersteller
Bremsen funktionieren nicht</v>
      </c>
      <c r="D31" s="192" t="str">
        <f t="shared" si="13"/>
        <v>Gefährdung der persönlichen Gesundheit
Gefährdung des eigenen Lebens</v>
      </c>
      <c r="E31" s="192" t="str">
        <f t="shared" si="14"/>
        <v>Abhängigkeit von Drittanbieter
Hackerangriff
fehlende/mangelhafte Transportsicherheit</v>
      </c>
      <c r="F31" s="193">
        <v>3</v>
      </c>
      <c r="G31" s="193">
        <v>10</v>
      </c>
      <c r="H31" s="194">
        <f t="shared" si="15"/>
        <v>30</v>
      </c>
      <c r="I31" s="249" t="str">
        <f>IF(OR(F31="",G31=""),"",IF(FMEA_Accept(F31,G31)=0,VLOOKUP(5001,LANGUAGE_DB,2,FALSE),VLOOKUP(5000,LANGUAGE_DB,2,FALSE)))</f>
        <v>Nein</v>
      </c>
      <c r="J31" s="250"/>
      <c r="K31" s="91" t="s">
        <v>14</v>
      </c>
      <c r="M31" s="52" t="s">
        <v>793</v>
      </c>
      <c r="N31" s="51" t="s">
        <v>790</v>
      </c>
      <c r="O31" s="51" t="s">
        <v>796</v>
      </c>
      <c r="P31" s="51"/>
      <c r="Q31" s="51" t="s">
        <v>653</v>
      </c>
      <c r="R31" s="51" t="s">
        <v>654</v>
      </c>
      <c r="S31" s="51"/>
      <c r="T31" s="51" t="s">
        <v>642</v>
      </c>
      <c r="U31" s="51" t="s">
        <v>633</v>
      </c>
      <c r="V31" s="51" t="s">
        <v>797</v>
      </c>
      <c r="W31" s="165">
        <f t="shared" si="18"/>
        <v>3</v>
      </c>
      <c r="X31" s="165">
        <f t="shared" si="2"/>
        <v>10</v>
      </c>
      <c r="Y31" s="124" t="str">
        <f t="shared" si="16"/>
        <v>3;10</v>
      </c>
      <c r="Z31" s="124">
        <f t="shared" si="3"/>
        <v>1</v>
      </c>
      <c r="AA31" s="124" t="str">
        <f t="shared" si="4"/>
        <v>ID=14</v>
      </c>
    </row>
    <row r="32" spans="1:27" s="53" customFormat="1" hidden="1" x14ac:dyDescent="0.2">
      <c r="A32" s="183">
        <f t="shared" si="1"/>
        <v>15</v>
      </c>
      <c r="B32" s="239"/>
      <c r="C32" s="184" t="str">
        <f t="shared" si="12"/>
        <v/>
      </c>
      <c r="D32" s="184" t="str">
        <f t="shared" si="13"/>
        <v/>
      </c>
      <c r="E32" s="184" t="str">
        <f t="shared" si="14"/>
        <v/>
      </c>
      <c r="F32" s="185"/>
      <c r="G32" s="185"/>
      <c r="H32" s="186" t="str">
        <f t="shared" si="15"/>
        <v/>
      </c>
      <c r="I32" s="240" t="str">
        <f>IF(OR(F32="",G32=""),"",IF(FMEA_Accept(F32,G32)=0,VLOOKUP(5001,LANGUAGE_DB,2,FALSE),VLOOKUP(5000,LANGUAGE_DB,2,FALSE)))</f>
        <v/>
      </c>
      <c r="J32" s="241"/>
      <c r="K32" s="91" t="s">
        <v>14</v>
      </c>
      <c r="M32" s="52"/>
      <c r="N32" s="51"/>
      <c r="O32" s="51"/>
      <c r="P32" s="51"/>
      <c r="Q32" s="51"/>
      <c r="R32" s="51"/>
      <c r="S32" s="51"/>
      <c r="T32" s="51"/>
      <c r="U32" s="51"/>
      <c r="V32" s="51"/>
      <c r="W32" s="165">
        <v>0</v>
      </c>
      <c r="X32" s="165">
        <v>0</v>
      </c>
      <c r="Y32" s="124" t="str">
        <f t="shared" si="16"/>
        <v>0;0</v>
      </c>
      <c r="Z32" s="124">
        <f t="shared" si="3"/>
        <v>6</v>
      </c>
      <c r="AA32" s="124" t="str">
        <f t="shared" si="4"/>
        <v/>
      </c>
    </row>
    <row r="33" spans="1:27" s="53" customFormat="1" hidden="1" x14ac:dyDescent="0.2">
      <c r="A33" s="187">
        <f t="shared" si="1"/>
        <v>16</v>
      </c>
      <c r="B33" s="242"/>
      <c r="C33" s="188" t="str">
        <f t="shared" si="12"/>
        <v/>
      </c>
      <c r="D33" s="188" t="str">
        <f t="shared" si="13"/>
        <v/>
      </c>
      <c r="E33" s="188" t="str">
        <f t="shared" si="14"/>
        <v/>
      </c>
      <c r="F33" s="189"/>
      <c r="G33" s="189"/>
      <c r="H33" s="190" t="str">
        <f t="shared" si="15"/>
        <v/>
      </c>
      <c r="I33" s="243" t="str">
        <f>IF(OR(F33="",G33=""),"",IF(FMEA_Accept(F33,G33)=0,VLOOKUP(5001,LANGUAGE_DB,2,FALSE),VLOOKUP(5000,LANGUAGE_DB,2,FALSE)))</f>
        <v/>
      </c>
      <c r="J33" s="244"/>
      <c r="K33" s="91" t="s">
        <v>14</v>
      </c>
      <c r="M33" s="52"/>
      <c r="N33" s="51"/>
      <c r="O33" s="51"/>
      <c r="P33" s="51"/>
      <c r="Q33" s="51"/>
      <c r="R33" s="51"/>
      <c r="S33" s="51"/>
      <c r="T33" s="51"/>
      <c r="U33" s="51"/>
      <c r="V33" s="51"/>
      <c r="W33" s="165">
        <v>0</v>
      </c>
      <c r="X33" s="165">
        <v>0</v>
      </c>
      <c r="Y33" s="124" t="str">
        <f t="shared" si="16"/>
        <v>0;0</v>
      </c>
      <c r="Z33" s="124">
        <f t="shared" si="3"/>
        <v>6</v>
      </c>
      <c r="AA33" s="124" t="str">
        <f t="shared" si="4"/>
        <v/>
      </c>
    </row>
    <row r="34" spans="1:27" s="53" customFormat="1" hidden="1" x14ac:dyDescent="0.2">
      <c r="A34" s="187">
        <f t="shared" si="1"/>
        <v>17</v>
      </c>
      <c r="B34" s="242" t="str">
        <f>IF(M34="","",IF(FMEA_Short_Long=0,VLOOKUP(M34,Asset_DB,1,FALSE),VLOOKUP(M34,Asset_DB,2,FALSE)))</f>
        <v/>
      </c>
      <c r="C34" s="188" t="str">
        <f t="shared" si="12"/>
        <v/>
      </c>
      <c r="D34" s="188" t="str">
        <f t="shared" si="13"/>
        <v/>
      </c>
      <c r="E34" s="188" t="str">
        <f t="shared" si="14"/>
        <v/>
      </c>
      <c r="F34" s="189"/>
      <c r="G34" s="189"/>
      <c r="H34" s="190" t="str">
        <f t="shared" si="15"/>
        <v/>
      </c>
      <c r="I34" s="243" t="str">
        <f>IF(OR(F34="",G34=""),"",IF(FMEA_Accept(F34,G34)=0,VLOOKUP(5001,LANGUAGE_DB,2,FALSE),VLOOKUP(5000,LANGUAGE_DB,2,FALSE)))</f>
        <v/>
      </c>
      <c r="J34" s="244"/>
      <c r="K34" s="91" t="s">
        <v>14</v>
      </c>
      <c r="M34" s="52"/>
      <c r="N34" s="51"/>
      <c r="O34" s="51"/>
      <c r="P34" s="51"/>
      <c r="Q34" s="51"/>
      <c r="R34" s="51"/>
      <c r="S34" s="51"/>
      <c r="T34" s="51"/>
      <c r="U34" s="51"/>
      <c r="V34" s="51"/>
      <c r="W34" s="165">
        <v>0</v>
      </c>
      <c r="X34" s="165">
        <v>0</v>
      </c>
      <c r="Y34" s="124" t="str">
        <f t="shared" si="16"/>
        <v>0;0</v>
      </c>
      <c r="Z34" s="124">
        <f t="shared" si="3"/>
        <v>6</v>
      </c>
      <c r="AA34" s="124" t="str">
        <f t="shared" si="4"/>
        <v/>
      </c>
    </row>
    <row r="35" spans="1:27" s="53" customFormat="1" hidden="1" x14ac:dyDescent="0.2">
      <c r="A35" s="187">
        <f t="shared" si="1"/>
        <v>18</v>
      </c>
      <c r="B35" s="242" t="str">
        <f>IF(M35="","",IF(FMEA_Short_Long=0,VLOOKUP(M35,Asset_DB,1,FALSE),VLOOKUP(M35,Asset_DB,2,FALSE)))</f>
        <v/>
      </c>
      <c r="C35" s="188" t="str">
        <f t="shared" si="12"/>
        <v/>
      </c>
      <c r="D35" s="188" t="str">
        <f t="shared" si="13"/>
        <v/>
      </c>
      <c r="E35" s="188" t="str">
        <f t="shared" si="14"/>
        <v/>
      </c>
      <c r="F35" s="189"/>
      <c r="G35" s="189"/>
      <c r="H35" s="190" t="str">
        <f t="shared" si="15"/>
        <v/>
      </c>
      <c r="I35" s="243" t="str">
        <f>IF(OR(F35="",G35=""),"",IF(FMEA_Accept(F35,G35)=0,VLOOKUP(5001,LANGUAGE_DB,2,FALSE),VLOOKUP(5000,LANGUAGE_DB,2,FALSE)))</f>
        <v/>
      </c>
      <c r="J35" s="244"/>
      <c r="K35" s="91" t="s">
        <v>14</v>
      </c>
      <c r="M35" s="52"/>
      <c r="N35" s="51"/>
      <c r="O35" s="51"/>
      <c r="P35" s="51"/>
      <c r="Q35" s="51"/>
      <c r="R35" s="51"/>
      <c r="S35" s="51"/>
      <c r="T35" s="51"/>
      <c r="U35" s="51"/>
      <c r="V35" s="51"/>
      <c r="W35" s="165">
        <v>0</v>
      </c>
      <c r="X35" s="165">
        <v>0</v>
      </c>
      <c r="Y35" s="124" t="str">
        <f t="shared" si="16"/>
        <v>0;0</v>
      </c>
      <c r="Z35" s="124">
        <f t="shared" si="3"/>
        <v>6</v>
      </c>
      <c r="AA35" s="124" t="str">
        <f t="shared" si="4"/>
        <v/>
      </c>
    </row>
    <row r="36" spans="1:27" s="53" customFormat="1" hidden="1" x14ac:dyDescent="0.2">
      <c r="A36" s="199">
        <f t="shared" si="1"/>
        <v>19</v>
      </c>
      <c r="B36" s="245" t="str">
        <f>IF(M36="","",IF(FMEA_Short_Long=0,VLOOKUP(M36,Asset_DB,1,FALSE),VLOOKUP(M36,Asset_DB,2,FALSE)))</f>
        <v/>
      </c>
      <c r="C36" s="200" t="str">
        <f t="shared" si="12"/>
        <v/>
      </c>
      <c r="D36" s="200" t="str">
        <f t="shared" si="13"/>
        <v/>
      </c>
      <c r="E36" s="200" t="str">
        <f t="shared" si="14"/>
        <v/>
      </c>
      <c r="F36" s="201"/>
      <c r="G36" s="201"/>
      <c r="H36" s="202" t="str">
        <f t="shared" si="15"/>
        <v/>
      </c>
      <c r="I36" s="246" t="str">
        <f>IF(OR(F36="",G36=""),"",IF(FMEA_Accept(F36,G36)=0,VLOOKUP(5001,LANGUAGE_DB,2,FALSE),VLOOKUP(5000,LANGUAGE_DB,2,FALSE)))</f>
        <v/>
      </c>
      <c r="J36" s="247"/>
      <c r="K36" s="91" t="s">
        <v>14</v>
      </c>
      <c r="M36" s="52"/>
      <c r="N36" s="51"/>
      <c r="O36" s="51"/>
      <c r="P36" s="51"/>
      <c r="Q36" s="51"/>
      <c r="R36" s="51"/>
      <c r="S36" s="51"/>
      <c r="T36" s="51"/>
      <c r="U36" s="51"/>
      <c r="V36" s="51"/>
      <c r="W36" s="165">
        <v>0</v>
      </c>
      <c r="X36" s="165">
        <v>0</v>
      </c>
      <c r="Y36" s="124" t="str">
        <f t="shared" si="16"/>
        <v>0;0</v>
      </c>
      <c r="Z36" s="124">
        <f t="shared" si="3"/>
        <v>6</v>
      </c>
      <c r="AA36" s="124" t="str">
        <f t="shared" si="4"/>
        <v/>
      </c>
    </row>
    <row r="37" spans="1:27" s="53" customFormat="1" ht="13.5" hidden="1" thickBot="1" x14ac:dyDescent="0.25">
      <c r="A37" s="191">
        <f t="shared" si="1"/>
        <v>20</v>
      </c>
      <c r="B37" s="248" t="str">
        <f>IF(M37="","",IF(FMEA_Short_Long=0,VLOOKUP(M37,Asset_DB,1,FALSE),VLOOKUP(M37,Asset_DB,2,FALSE)))</f>
        <v/>
      </c>
      <c r="C37" s="192" t="str">
        <f t="shared" si="12"/>
        <v/>
      </c>
      <c r="D37" s="192" t="str">
        <f t="shared" si="13"/>
        <v/>
      </c>
      <c r="E37" s="192" t="str">
        <f t="shared" si="14"/>
        <v/>
      </c>
      <c r="F37" s="193"/>
      <c r="G37" s="193"/>
      <c r="H37" s="194" t="str">
        <f t="shared" si="15"/>
        <v/>
      </c>
      <c r="I37" s="249" t="str">
        <f>IF(OR(F37="",G37=""),"",IF(FMEA_Accept(F37,G37)=0,VLOOKUP(5001,LANGUAGE_DB,2,FALSE),VLOOKUP(5000,LANGUAGE_DB,2,FALSE)))</f>
        <v/>
      </c>
      <c r="J37" s="250"/>
      <c r="K37" s="91" t="s">
        <v>14</v>
      </c>
      <c r="M37" s="52"/>
      <c r="N37" s="51"/>
      <c r="O37" s="51"/>
      <c r="P37" s="51"/>
      <c r="Q37" s="51"/>
      <c r="R37" s="51"/>
      <c r="S37" s="51"/>
      <c r="T37" s="51"/>
      <c r="U37" s="51"/>
      <c r="V37" s="51"/>
      <c r="W37" s="165">
        <v>0</v>
      </c>
      <c r="X37" s="165">
        <v>0</v>
      </c>
      <c r="Y37" s="124" t="str">
        <f t="shared" si="16"/>
        <v>0;0</v>
      </c>
      <c r="Z37" s="124">
        <f t="shared" si="3"/>
        <v>6</v>
      </c>
      <c r="AA37" s="124" t="str">
        <f t="shared" si="4"/>
        <v/>
      </c>
    </row>
    <row r="38" spans="1:27" hidden="1" x14ac:dyDescent="0.25">
      <c r="K38" s="1" t="s">
        <v>171</v>
      </c>
    </row>
  </sheetData>
  <sheetProtection sheet="1" formatCells="0" formatColumns="0" formatRows="0" insertColumns="0" insertRows="0" insertHyperlinks="0" deleteColumns="0" deleteRows="0" sort="0" autoFilter="0" pivotTables="0"/>
  <autoFilter ref="A17:K38">
    <filterColumn colId="1">
      <customFilters>
        <customFilter operator="notEqual" val=" "/>
      </customFilters>
    </filterColumn>
    <filterColumn colId="10">
      <filters>
        <filter val="Ja"/>
      </filters>
    </filterColumn>
  </autoFilter>
  <phoneticPr fontId="5" type="noConversion"/>
  <conditionalFormatting sqref="A18:J18">
    <cfRule type="expression" dxfId="77" priority="20" stopIfTrue="1">
      <formula>MOD(SUBTOTAL(3,$A$18:$A18),2)=1</formula>
    </cfRule>
  </conditionalFormatting>
  <conditionalFormatting sqref="A19:J19">
    <cfRule type="expression" dxfId="76" priority="19" stopIfTrue="1">
      <formula>MOD(SUBTOTAL(3,$A$18:$A19),2)=1</formula>
    </cfRule>
  </conditionalFormatting>
  <conditionalFormatting sqref="A20:J20">
    <cfRule type="expression" dxfId="75" priority="18" stopIfTrue="1">
      <formula>MOD(SUBTOTAL(3,$A$18:$A20),2)=1</formula>
    </cfRule>
  </conditionalFormatting>
  <conditionalFormatting sqref="A21:J21">
    <cfRule type="expression" dxfId="74" priority="17" stopIfTrue="1">
      <formula>MOD(SUBTOTAL(3,$A$18:$A21),2)=1</formula>
    </cfRule>
  </conditionalFormatting>
  <conditionalFormatting sqref="A22:J22">
    <cfRule type="expression" dxfId="73" priority="16" stopIfTrue="1">
      <formula>MOD(SUBTOTAL(3,$A$18:$A22),2)=1</formula>
    </cfRule>
  </conditionalFormatting>
  <conditionalFormatting sqref="A23:J23">
    <cfRule type="expression" dxfId="72" priority="15" stopIfTrue="1">
      <formula>MOD(SUBTOTAL(3,$A$18:$A23),2)=1</formula>
    </cfRule>
  </conditionalFormatting>
  <conditionalFormatting sqref="A24:J24">
    <cfRule type="expression" dxfId="71" priority="14" stopIfTrue="1">
      <formula>MOD(SUBTOTAL(3,$A$18:$A24),2)=1</formula>
    </cfRule>
  </conditionalFormatting>
  <conditionalFormatting sqref="A25:J25">
    <cfRule type="expression" dxfId="70" priority="13" stopIfTrue="1">
      <formula>MOD(SUBTOTAL(3,$A$18:$A25),2)=1</formula>
    </cfRule>
  </conditionalFormatting>
  <conditionalFormatting sqref="A26:J26">
    <cfRule type="expression" dxfId="69" priority="12" stopIfTrue="1">
      <formula>MOD(SUBTOTAL(3,$A$18:$A26),2)=1</formula>
    </cfRule>
  </conditionalFormatting>
  <conditionalFormatting sqref="A27:J27">
    <cfRule type="expression" dxfId="68" priority="11" stopIfTrue="1">
      <formula>MOD(SUBTOTAL(3,$A$18:$A27),2)=1</formula>
    </cfRule>
  </conditionalFormatting>
  <conditionalFormatting sqref="A28:J28">
    <cfRule type="expression" dxfId="67" priority="10" stopIfTrue="1">
      <formula>MOD(SUBTOTAL(3,$A$18:$A28),2)=1</formula>
    </cfRule>
  </conditionalFormatting>
  <conditionalFormatting sqref="A29:J29">
    <cfRule type="expression" dxfId="66" priority="9" stopIfTrue="1">
      <formula>MOD(SUBTOTAL(3,$A$18:$A29),2)=1</formula>
    </cfRule>
  </conditionalFormatting>
  <conditionalFormatting sqref="A30:J30">
    <cfRule type="expression" dxfId="65" priority="8" stopIfTrue="1">
      <formula>MOD(SUBTOTAL(3,$A$18:$A30),2)=1</formula>
    </cfRule>
  </conditionalFormatting>
  <conditionalFormatting sqref="A31:J31">
    <cfRule type="expression" dxfId="64" priority="7" stopIfTrue="1">
      <formula>MOD(SUBTOTAL(3,$A$18:$A31),2)=1</formula>
    </cfRule>
  </conditionalFormatting>
  <conditionalFormatting sqref="A32:J32">
    <cfRule type="expression" dxfId="63" priority="6" stopIfTrue="1">
      <formula>MOD(SUBTOTAL(3,$A$18:$A32),2)=1</formula>
    </cfRule>
  </conditionalFormatting>
  <conditionalFormatting sqref="A33:J33">
    <cfRule type="expression" dxfId="62" priority="5" stopIfTrue="1">
      <formula>MOD(SUBTOTAL(3,$A$18:$A33),2)=1</formula>
    </cfRule>
  </conditionalFormatting>
  <conditionalFormatting sqref="A34:J34">
    <cfRule type="expression" dxfId="61" priority="4" stopIfTrue="1">
      <formula>MOD(SUBTOTAL(3,$A$18:$A34),2)=1</formula>
    </cfRule>
  </conditionalFormatting>
  <conditionalFormatting sqref="A35:J35">
    <cfRule type="expression" dxfId="60" priority="3" stopIfTrue="1">
      <formula>MOD(SUBTOTAL(3,$A$18:$A35),2)=1</formula>
    </cfRule>
  </conditionalFormatting>
  <conditionalFormatting sqref="A36:J36">
    <cfRule type="expression" dxfId="59" priority="2" stopIfTrue="1">
      <formula>MOD(SUBTOTAL(3,$A$18:$A36),2)=1</formula>
    </cfRule>
  </conditionalFormatting>
  <conditionalFormatting sqref="A37:J37">
    <cfRule type="expression" dxfId="58" priority="1" stopIfTrue="1">
      <formula>MOD(SUBTOTAL(3,$A$18:$A37),2)=1</formula>
    </cfRule>
  </conditionalFormatting>
  <dataValidations count="1">
    <dataValidation type="list" allowBlank="1" showInputMessage="1" showErrorMessage="1" sqref="K18:K37">
      <formula1>Yes_No_DB</formula1>
    </dataValidation>
  </dataValidations>
  <pageMargins left="0.23622047244094491" right="0.23622047244094491" top="0.74803149606299213" bottom="0.74803149606299213" header="0.31496062992125984" footer="0.31496062992125984"/>
  <pageSetup paperSize="8" orientation="landscape" r:id="rId1"/>
  <headerFooter scaleWithDoc="0"/>
  <extLst>
    <ext xmlns:mx="http://schemas.microsoft.com/office/mac/excel/2008/main" uri="{64002731-A6B0-56B0-2670-7721B7C09600}">
      <mx:PLV Mode="0" OnePage="0" WScale="10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8" tint="0.39997558519241921"/>
  </sheetPr>
  <dimension ref="A1:O59"/>
  <sheetViews>
    <sheetView view="pageBreakPreview" topLeftCell="A18" zoomScaleNormal="100" zoomScaleSheetLayoutView="100" workbookViewId="0">
      <selection activeCell="N41" sqref="N41"/>
    </sheetView>
  </sheetViews>
  <sheetFormatPr baseColWidth="10" defaultRowHeight="15" outlineLevelRow="1" x14ac:dyDescent="0.25"/>
  <cols>
    <col min="1" max="1" width="17.7109375" customWidth="1"/>
    <col min="2" max="2" width="18" bestFit="1" customWidth="1"/>
    <col min="3" max="3" width="14.5703125" customWidth="1"/>
    <col min="10" max="10" width="11.42578125" customWidth="1"/>
    <col min="11" max="11" width="14.28515625" customWidth="1"/>
    <col min="12" max="12" width="11.42578125" customWidth="1"/>
    <col min="15" max="15" width="40.28515625" customWidth="1"/>
  </cols>
  <sheetData>
    <row r="1" spans="1:2" hidden="1" outlineLevel="1" x14ac:dyDescent="0.25"/>
    <row r="2" spans="1:2" ht="21" hidden="1" outlineLevel="1" x14ac:dyDescent="0.35">
      <c r="A2" s="8" t="s">
        <v>9</v>
      </c>
    </row>
    <row r="3" spans="1:2" ht="20.25" hidden="1" customHeight="1" outlineLevel="1" x14ac:dyDescent="0.25">
      <c r="A3" s="28" t="str">
        <f>VLOOKUP(6028,LANGUAGE_DB,2)</f>
        <v>FMEA Einstellungen</v>
      </c>
    </row>
    <row r="4" spans="1:2" hidden="1" outlineLevel="1" x14ac:dyDescent="0.25">
      <c r="A4" t="str">
        <f>VLOOKUP(6024,LANGUAGE_DB,2,FALSE)</f>
        <v>Matrix Titel</v>
      </c>
      <c r="B4" t="str">
        <f>VLOOKUP(6023,LANGUAGE_DB,2,FALSE)</f>
        <v>FMEA Risiko Matrix</v>
      </c>
    </row>
    <row r="5" spans="1:2" hidden="1" outlineLevel="1" x14ac:dyDescent="0.25">
      <c r="A5" t="str">
        <f>VLOOKUP(6025,LANGUAGE_DB,2,FALSE)</f>
        <v>X-Achse</v>
      </c>
      <c r="B5" t="str">
        <f>VLOOKUP(6009,LANGUAGE_DB,2,FALSE)</f>
        <v>Schweregrad</v>
      </c>
    </row>
    <row r="6" spans="1:2" hidden="1" outlineLevel="1" x14ac:dyDescent="0.25">
      <c r="A6" t="str">
        <f>VLOOKUP(6026,LANGUAGE_DB,2,FALSE)</f>
        <v>Y-Achse</v>
      </c>
      <c r="B6" t="str">
        <f>VLOOKUP(6008,LANGUAGE_DB,2,FALSE)</f>
        <v>Auftrittshäufigkeit</v>
      </c>
    </row>
    <row r="7" spans="1:2" hidden="1" outlineLevel="1" x14ac:dyDescent="0.25"/>
    <row r="8" spans="1:2" hidden="1" outlineLevel="1" x14ac:dyDescent="0.25"/>
    <row r="9" spans="1:2" hidden="1" outlineLevel="1" x14ac:dyDescent="0.25"/>
    <row r="10" spans="1:2" hidden="1" outlineLevel="1" x14ac:dyDescent="0.25"/>
    <row r="11" spans="1:2" hidden="1" outlineLevel="1" x14ac:dyDescent="0.25"/>
    <row r="12" spans="1:2" hidden="1" outlineLevel="1" x14ac:dyDescent="0.25"/>
    <row r="13" spans="1:2" hidden="1" outlineLevel="1" x14ac:dyDescent="0.25"/>
    <row r="14" spans="1:2" hidden="1" outlineLevel="1" x14ac:dyDescent="0.25"/>
    <row r="15" spans="1:2" collapsed="1" x14ac:dyDescent="0.25"/>
    <row r="16" spans="1:2" ht="15.75" thickBot="1" x14ac:dyDescent="0.3"/>
    <row r="17" spans="15:15" ht="15.75" thickBot="1" x14ac:dyDescent="0.3">
      <c r="O17" s="17" t="str">
        <f>VLOOKUP(5005,LANGUAGE_DB,2)</f>
        <v>Risiko-Akzeptanz in FMEA Risiko Matrix</v>
      </c>
    </row>
    <row r="18" spans="15:15" x14ac:dyDescent="0.25">
      <c r="O18" s="18">
        <v>10.5</v>
      </c>
    </row>
    <row r="19" spans="15:15" x14ac:dyDescent="0.25">
      <c r="O19" s="19">
        <v>9.5</v>
      </c>
    </row>
    <row r="20" spans="15:15" x14ac:dyDescent="0.25">
      <c r="O20" s="19">
        <v>8.5</v>
      </c>
    </row>
    <row r="21" spans="15:15" x14ac:dyDescent="0.25">
      <c r="O21" s="19">
        <v>7.5</v>
      </c>
    </row>
    <row r="22" spans="15:15" x14ac:dyDescent="0.25">
      <c r="O22" s="19">
        <v>6.5</v>
      </c>
    </row>
    <row r="23" spans="15:15" x14ac:dyDescent="0.25">
      <c r="O23" s="19">
        <v>5.5</v>
      </c>
    </row>
    <row r="24" spans="15:15" x14ac:dyDescent="0.25">
      <c r="O24" s="19">
        <v>4.5</v>
      </c>
    </row>
    <row r="25" spans="15:15" x14ac:dyDescent="0.25">
      <c r="O25" s="19">
        <v>3.5</v>
      </c>
    </row>
    <row r="26" spans="15:15" x14ac:dyDescent="0.25">
      <c r="O26" s="19">
        <v>2.5</v>
      </c>
    </row>
    <row r="27" spans="15:15" ht="15.75" thickBot="1" x14ac:dyDescent="0.3">
      <c r="O27" s="20">
        <v>1.5</v>
      </c>
    </row>
    <row r="47" ht="68.25" customHeight="1" x14ac:dyDescent="0.25"/>
    <row r="48" ht="41.25" customHeight="1" x14ac:dyDescent="0.25"/>
    <row r="49" spans="1:4" x14ac:dyDescent="0.25">
      <c r="A49" t="str">
        <f>VLOOKUP(FMEA!F12,LANGUAGE_DB,2)</f>
        <v>Auftrittshäufigkeit</v>
      </c>
      <c r="B49" t="str">
        <f>VLOOKUP(FMEA!G12,LANGUAGE_DB,2)</f>
        <v>Schweregrad</v>
      </c>
    </row>
    <row r="51" spans="1:4" x14ac:dyDescent="0.25">
      <c r="A51">
        <v>1</v>
      </c>
      <c r="B51">
        <v>8</v>
      </c>
      <c r="C51" t="str">
        <f>CONCATENATE(A51,";",B51)</f>
        <v>1;8</v>
      </c>
      <c r="D51">
        <f>COUNTIF($C$51:$C$59,C51)</f>
        <v>1</v>
      </c>
    </row>
    <row r="52" spans="1:4" x14ac:dyDescent="0.25">
      <c r="A52">
        <v>5</v>
      </c>
      <c r="B52">
        <v>1</v>
      </c>
      <c r="C52" t="str">
        <f t="shared" ref="C52:C59" si="0">CONCATENATE(A52,";",B52)</f>
        <v>5;1</v>
      </c>
      <c r="D52">
        <f t="shared" ref="D52:D59" si="1">COUNTIF($C$51:$C$59,C52)</f>
        <v>1</v>
      </c>
    </row>
    <row r="53" spans="1:4" x14ac:dyDescent="0.25">
      <c r="A53">
        <v>1</v>
      </c>
      <c r="B53">
        <v>4</v>
      </c>
      <c r="C53" t="str">
        <f t="shared" si="0"/>
        <v>1;4</v>
      </c>
      <c r="D53">
        <f t="shared" si="1"/>
        <v>1</v>
      </c>
    </row>
    <row r="54" spans="1:4" x14ac:dyDescent="0.25">
      <c r="A54">
        <v>5</v>
      </c>
      <c r="B54">
        <v>8</v>
      </c>
      <c r="C54" t="str">
        <f t="shared" si="0"/>
        <v>5;8</v>
      </c>
      <c r="D54">
        <f t="shared" si="1"/>
        <v>1</v>
      </c>
    </row>
    <row r="55" spans="1:4" x14ac:dyDescent="0.25">
      <c r="A55">
        <v>8</v>
      </c>
      <c r="B55">
        <v>4</v>
      </c>
      <c r="C55" t="str">
        <f>CONCATENATE(A55+0.1,";",B55)</f>
        <v>8.1;4</v>
      </c>
      <c r="D55">
        <f t="shared" si="1"/>
        <v>1</v>
      </c>
    </row>
    <row r="56" spans="1:4" x14ac:dyDescent="0.25">
      <c r="A56">
        <v>8</v>
      </c>
      <c r="B56">
        <v>4</v>
      </c>
      <c r="C56" t="str">
        <f t="shared" si="0"/>
        <v>8;4</v>
      </c>
      <c r="D56">
        <f t="shared" si="1"/>
        <v>1</v>
      </c>
    </row>
    <row r="57" spans="1:4" x14ac:dyDescent="0.25">
      <c r="A57">
        <v>1</v>
      </c>
      <c r="B57">
        <v>9</v>
      </c>
      <c r="C57" t="str">
        <f t="shared" si="0"/>
        <v>1;9</v>
      </c>
      <c r="D57">
        <f t="shared" si="1"/>
        <v>1</v>
      </c>
    </row>
    <row r="58" spans="1:4" x14ac:dyDescent="0.25">
      <c r="A58">
        <v>8</v>
      </c>
      <c r="B58">
        <v>2</v>
      </c>
      <c r="C58" t="str">
        <f t="shared" si="0"/>
        <v>8;2</v>
      </c>
      <c r="D58">
        <f t="shared" si="1"/>
        <v>1</v>
      </c>
    </row>
    <row r="59" spans="1:4" x14ac:dyDescent="0.25">
      <c r="A59">
        <v>4</v>
      </c>
      <c r="B59">
        <v>3</v>
      </c>
      <c r="C59" t="str">
        <f t="shared" si="0"/>
        <v>4;3</v>
      </c>
      <c r="D59">
        <f t="shared" si="1"/>
        <v>1</v>
      </c>
    </row>
  </sheetData>
  <pageMargins left="0.70866141732283472" right="0.70866141732283472" top="0.78740157480314965" bottom="0.78740157480314965" header="0.31496062992125984" footer="0.31496062992125984"/>
  <pageSetup paperSize="9" scale="92" orientation="portrait" r:id="rId1"/>
  <headerFooter scaleWithDoc="0">
    <oddHeader>&amp;LAuditor: Micha Schönenberger&amp;CTEST 1234&amp;RIoT Risk Assessment</oddHeader>
    <oddFooter>&amp;LKunde: Rolf Huber&amp;C18.07.2015&amp;RSeite &amp;P/&amp;N</oddFooter>
  </headerFooter>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8" tint="0.39997558519241921"/>
  </sheetPr>
  <dimension ref="A1:C41"/>
  <sheetViews>
    <sheetView topLeftCell="A15" workbookViewId="0">
      <selection activeCell="D20" sqref="D20"/>
    </sheetView>
  </sheetViews>
  <sheetFormatPr baseColWidth="10" defaultRowHeight="15" outlineLevelRow="1" x14ac:dyDescent="0.25"/>
  <cols>
    <col min="2" max="2" width="29.140625" bestFit="1" customWidth="1"/>
    <col min="3" max="3" width="65.140625" bestFit="1" customWidth="1"/>
    <col min="6" max="6" width="22.85546875" bestFit="1" customWidth="1"/>
    <col min="7" max="7" width="65.140625" bestFit="1" customWidth="1"/>
  </cols>
  <sheetData>
    <row r="1" spans="1:1" hidden="1" outlineLevel="1" x14ac:dyDescent="0.25"/>
    <row r="2" spans="1:1" hidden="1" outlineLevel="1" x14ac:dyDescent="0.25"/>
    <row r="3" spans="1:1" hidden="1" outlineLevel="1" x14ac:dyDescent="0.25"/>
    <row r="4" spans="1:1" hidden="1" outlineLevel="1" x14ac:dyDescent="0.25"/>
    <row r="5" spans="1:1" hidden="1" outlineLevel="1" x14ac:dyDescent="0.25"/>
    <row r="6" spans="1:1" hidden="1" outlineLevel="1" x14ac:dyDescent="0.25"/>
    <row r="7" spans="1:1" hidden="1" outlineLevel="1" x14ac:dyDescent="0.25"/>
    <row r="8" spans="1:1" hidden="1" outlineLevel="1" x14ac:dyDescent="0.25"/>
    <row r="9" spans="1:1" hidden="1" outlineLevel="1" x14ac:dyDescent="0.25"/>
    <row r="10" spans="1:1" hidden="1" outlineLevel="1" x14ac:dyDescent="0.25"/>
    <row r="11" spans="1:1" hidden="1" outlineLevel="1" x14ac:dyDescent="0.25"/>
    <row r="12" spans="1:1" hidden="1" outlineLevel="1" x14ac:dyDescent="0.25"/>
    <row r="13" spans="1:1" hidden="1" outlineLevel="1" x14ac:dyDescent="0.25"/>
    <row r="14" spans="1:1" hidden="1" outlineLevel="1" x14ac:dyDescent="0.25"/>
    <row r="15" spans="1:1" ht="30.75" customHeight="1" collapsed="1" x14ac:dyDescent="0.25">
      <c r="A15" s="15" t="str">
        <f>VLOOKUP(5006,LANGUAGE_DB,2)</f>
        <v>FMEA Bewertungsskala</v>
      </c>
    </row>
    <row r="16" spans="1:1" ht="15" customHeight="1" thickBot="1" x14ac:dyDescent="0.3">
      <c r="A16" s="15"/>
    </row>
    <row r="17" spans="1:3" ht="28.5" customHeight="1" thickBot="1" x14ac:dyDescent="0.3">
      <c r="A17" s="293" t="str">
        <f>VLOOKUP(5007,LANGUAGE_DB,2)</f>
        <v>Eintrittswahrscheinlichkeit</v>
      </c>
      <c r="B17" s="294"/>
    </row>
    <row r="18" spans="1:3" ht="28.5" customHeight="1" thickBot="1" x14ac:dyDescent="0.3">
      <c r="A18" s="103" t="str">
        <f>VLOOKUP(5008,LANGUAGE_DB,2)</f>
        <v>Wertung</v>
      </c>
      <c r="B18" s="43" t="str">
        <f>VLOOKUP(5009,LANGUAGE_DB,2)</f>
        <v>Bewertung Wahrscheinlichkeit</v>
      </c>
    </row>
    <row r="19" spans="1:3" x14ac:dyDescent="0.25">
      <c r="A19" s="60">
        <v>1</v>
      </c>
      <c r="B19" s="57" t="str">
        <f>VLOOKUP(5030,LANGUAGE_DB,2)</f>
        <v>höchstens alle 50 Jahre</v>
      </c>
    </row>
    <row r="20" spans="1:3" x14ac:dyDescent="0.25">
      <c r="A20" s="61">
        <v>2</v>
      </c>
      <c r="B20" s="58" t="str">
        <f>VLOOKUP(5031,LANGUAGE_DB,2)</f>
        <v>einmal in 20 Jahren</v>
      </c>
    </row>
    <row r="21" spans="1:3" x14ac:dyDescent="0.25">
      <c r="A21" s="61">
        <v>3</v>
      </c>
      <c r="B21" s="58" t="str">
        <f>VLOOKUP(5032,LANGUAGE_DB,2)</f>
        <v>einmal in 5 Jahren</v>
      </c>
    </row>
    <row r="22" spans="1:3" x14ac:dyDescent="0.25">
      <c r="A22" s="61">
        <v>4</v>
      </c>
      <c r="B22" s="58" t="str">
        <f>VLOOKUP(5033,LANGUAGE_DB,2)</f>
        <v>einmal in 2 Jahren</v>
      </c>
    </row>
    <row r="23" spans="1:3" x14ac:dyDescent="0.25">
      <c r="A23" s="61">
        <v>5</v>
      </c>
      <c r="B23" s="58" t="str">
        <f>VLOOKUP(5034,LANGUAGE_DB,2)</f>
        <v>einmal pro Jahr</v>
      </c>
    </row>
    <row r="24" spans="1:3" x14ac:dyDescent="0.25">
      <c r="A24" s="61">
        <v>6</v>
      </c>
      <c r="B24" s="58" t="str">
        <f>VLOOKUP(5035,LANGUAGE_DB,2)</f>
        <v>alle 1/2 Jahre</v>
      </c>
    </row>
    <row r="25" spans="1:3" x14ac:dyDescent="0.25">
      <c r="A25" s="61">
        <v>7</v>
      </c>
      <c r="B25" s="58" t="str">
        <f>VLOOKUP(5036,LANGUAGE_DB,2)</f>
        <v>jedes Quartal</v>
      </c>
    </row>
    <row r="26" spans="1:3" x14ac:dyDescent="0.25">
      <c r="A26" s="61">
        <v>8</v>
      </c>
      <c r="B26" s="58" t="str">
        <f>VLOOKUP(5037,LANGUAGE_DB,2)</f>
        <v>einmal im Monat</v>
      </c>
    </row>
    <row r="27" spans="1:3" x14ac:dyDescent="0.25">
      <c r="A27" s="61">
        <v>9</v>
      </c>
      <c r="B27" s="58" t="str">
        <f>VLOOKUP(5038,LANGUAGE_DB,2)</f>
        <v>mehrmals im Monat</v>
      </c>
    </row>
    <row r="28" spans="1:3" ht="15.75" thickBot="1" x14ac:dyDescent="0.3">
      <c r="A28" s="62">
        <v>10</v>
      </c>
      <c r="B28" s="59" t="str">
        <f>VLOOKUP(5039,LANGUAGE_DB,2)</f>
        <v>täglich</v>
      </c>
    </row>
    <row r="29" spans="1:3" ht="15.75" thickBot="1" x14ac:dyDescent="0.3"/>
    <row r="30" spans="1:3" ht="30.75" customHeight="1" thickBot="1" x14ac:dyDescent="0.3">
      <c r="A30" s="293" t="str">
        <f>VLOOKUP(6009,LANGUAGE_DB,2)</f>
        <v>Schweregrad</v>
      </c>
      <c r="B30" s="295"/>
      <c r="C30" s="294"/>
    </row>
    <row r="31" spans="1:3" ht="15.75" thickBot="1" x14ac:dyDescent="0.3">
      <c r="A31" s="104" t="str">
        <f>VLOOKUP(5008,LANGUAGE_DB,2)</f>
        <v>Wertung</v>
      </c>
      <c r="B31" s="26" t="str">
        <f>VLOOKUP(5013,LANGUAGE_DB,2)</f>
        <v>Bewertung Schweregrad</v>
      </c>
      <c r="C31" s="26" t="str">
        <f>VLOOKUP(5012,LANGUAGE_DB,2)</f>
        <v>Beispiel für Wohnsituation</v>
      </c>
    </row>
    <row r="32" spans="1:3" x14ac:dyDescent="0.25">
      <c r="A32" s="60">
        <v>1</v>
      </c>
      <c r="B32" s="57" t="str">
        <f>VLOOKUP(5020,LANGUAGE_DB,2)</f>
        <v>kein</v>
      </c>
      <c r="C32" s="57" t="str">
        <f>VLOOKUP(5040,LANGUAGE_DB,2)</f>
        <v>kein merkbarer Einfluss auf die Wohnqualität</v>
      </c>
    </row>
    <row r="33" spans="1:3" x14ac:dyDescent="0.25">
      <c r="A33" s="61">
        <v>2</v>
      </c>
      <c r="B33" s="58" t="str">
        <f>VLOOKUP(5021,LANGUAGE_DB,2)</f>
        <v>sehr gering</v>
      </c>
      <c r="C33" s="58" t="str">
        <f>VLOOKUP(5041,LANGUAGE_DB,2)</f>
        <v>sehr geringerr Einfluss auf die Wohnqualität</v>
      </c>
    </row>
    <row r="34" spans="1:3" x14ac:dyDescent="0.25">
      <c r="A34" s="61">
        <v>3</v>
      </c>
      <c r="B34" s="58" t="str">
        <f>VLOOKUP(5022,LANGUAGE_DB,2)</f>
        <v>gering</v>
      </c>
      <c r="C34" s="58" t="str">
        <f>VLOOKUP(5042,LANGUAGE_DB,2)</f>
        <v>kleiner merkbarer Einfluss auf di Wohnqualität</v>
      </c>
    </row>
    <row r="35" spans="1:3" x14ac:dyDescent="0.25">
      <c r="A35" s="61">
        <v>4</v>
      </c>
      <c r="B35" s="58" t="str">
        <f>VLOOKUP(5023,LANGUAGE_DB,2)</f>
        <v>sehr niedrig</v>
      </c>
      <c r="C35" s="58" t="str">
        <f>VLOOKUP(5043,LANGUAGE_DB,2)</f>
        <v>technische Einschränkungen der Wohnqualität spürbar</v>
      </c>
    </row>
    <row r="36" spans="1:3" x14ac:dyDescent="0.25">
      <c r="A36" s="61">
        <v>5</v>
      </c>
      <c r="B36" s="58" t="str">
        <f>VLOOKUP(5024,LANGUAGE_DB,2)</f>
        <v>niedrig</v>
      </c>
      <c r="C36" s="58" t="str">
        <f>VLOOKUP(5044,LANGUAGE_DB,2)</f>
        <v>Wohnen mit einzelnen technischen Einschränkungen möglich</v>
      </c>
    </row>
    <row r="37" spans="1:3" x14ac:dyDescent="0.25">
      <c r="A37" s="61">
        <v>6</v>
      </c>
      <c r="B37" s="58" t="str">
        <f>VLOOKUP(5025,LANGUAGE_DB,2)</f>
        <v>mässig</v>
      </c>
      <c r="C37" s="58" t="str">
        <f>VLOOKUP(5045,LANGUAGE_DB,2)</f>
        <v>Wohnen mit technischen Einschränkungen möglich</v>
      </c>
    </row>
    <row r="38" spans="1:3" x14ac:dyDescent="0.25">
      <c r="A38" s="61">
        <v>7</v>
      </c>
      <c r="B38" s="58" t="str">
        <f>VLOOKUP(5026,LANGUAGE_DB,2)</f>
        <v>hoch</v>
      </c>
      <c r="C38" s="58" t="str">
        <f>VLOOKUP(5046,LANGUAGE_DB,2)</f>
        <v>Wohnen mit grossen Einschränkungen möglich</v>
      </c>
    </row>
    <row r="39" spans="1:3" x14ac:dyDescent="0.25">
      <c r="A39" s="61">
        <v>8</v>
      </c>
      <c r="B39" s="58" t="str">
        <f>VLOOKUP(5027,LANGUAGE_DB,2)</f>
        <v>sehr hoch</v>
      </c>
      <c r="C39" s="58" t="str">
        <f>VLOOKUP(5047,LANGUAGE_DB,2)</f>
        <v>Wohnen mit sehr grossen Einschränkungen möglich</v>
      </c>
    </row>
    <row r="40" spans="1:3" x14ac:dyDescent="0.25">
      <c r="A40" s="61">
        <v>9</v>
      </c>
      <c r="B40" s="58" t="str">
        <f>VLOOKUP(5028,LANGUAGE_DB,2)</f>
        <v>extreme hoch</v>
      </c>
      <c r="C40" s="58" t="str">
        <f>VLOOKUP(5048,LANGUAGE_DB,2)</f>
        <v>Wohnen für Stunden bis Tage nicht zumutbar</v>
      </c>
    </row>
    <row r="41" spans="1:3" ht="15.75" thickBot="1" x14ac:dyDescent="0.3">
      <c r="A41" s="62">
        <v>10</v>
      </c>
      <c r="B41" s="59" t="str">
        <f>VLOOKUP(5029,LANGUAGE_DB,2)</f>
        <v>gefährlich hoch</v>
      </c>
      <c r="C41" s="59" t="str">
        <f>VLOOKUP(5049,LANGUAGE_DB,2)</f>
        <v>Wohnen für längere Zeit nicht mehr zumutbar</v>
      </c>
    </row>
  </sheetData>
  <mergeCells count="2">
    <mergeCell ref="A17:B17"/>
    <mergeCell ref="A30:C30"/>
  </mergeCells>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8" tint="0.39997558519241921"/>
  </sheetPr>
  <dimension ref="A1:K1000"/>
  <sheetViews>
    <sheetView topLeftCell="A15" zoomScaleNormal="100" workbookViewId="0">
      <pane ySplit="3" topLeftCell="A18" activePane="bottomLeft" state="frozen"/>
      <selection activeCell="D20" sqref="D20"/>
      <selection pane="bottomLeft" activeCell="A15" sqref="A15"/>
    </sheetView>
  </sheetViews>
  <sheetFormatPr baseColWidth="10" defaultRowHeight="15" outlineLevelRow="1" x14ac:dyDescent="0.25"/>
  <cols>
    <col min="1" max="1" width="10" style="152" customWidth="1"/>
    <col min="2" max="2" width="53.5703125" style="152" customWidth="1"/>
    <col min="3" max="3" width="67.140625" style="152" customWidth="1"/>
    <col min="4" max="4" width="13" customWidth="1"/>
    <col min="5" max="6" width="59.42578125" customWidth="1"/>
    <col min="7" max="8" width="71.5703125" customWidth="1"/>
    <col min="9" max="10" width="59.42578125" customWidth="1"/>
    <col min="11" max="12" width="71.5703125" customWidth="1"/>
  </cols>
  <sheetData>
    <row r="1" spans="1:6" s="128" customFormat="1" ht="18.75" hidden="1" outlineLevel="1" thickBot="1" x14ac:dyDescent="0.3">
      <c r="A1" s="31" t="str">
        <f>VLOOKUP(1003,LANGUAGE_DB,2)</f>
        <v>Einstellungen</v>
      </c>
      <c r="B1" s="150"/>
    </row>
    <row r="2" spans="1:6" s="128" customFormat="1" ht="15.75" hidden="1" outlineLevel="1" thickBot="1" x14ac:dyDescent="0.3">
      <c r="A2" s="48" t="str">
        <f>VLOOKUP(1004,LANGUAGE_DB,2)</f>
        <v>erster Eintrag in Zeile</v>
      </c>
      <c r="C2" s="46">
        <f>ROW(D17)+1</f>
        <v>18</v>
      </c>
    </row>
    <row r="3" spans="1:6" s="128" customFormat="1" ht="15.75" hidden="1" outlineLevel="1" thickBot="1" x14ac:dyDescent="0.3">
      <c r="A3" s="48" t="str">
        <f>VLOOKUP(1005,LANGUAGE_DB,2)</f>
        <v>Kurznummer für Liste</v>
      </c>
      <c r="C3" s="46" t="s">
        <v>223</v>
      </c>
    </row>
    <row r="4" spans="1:6" s="128" customFormat="1" ht="15.75" hidden="1" outlineLevel="1" thickBot="1" x14ac:dyDescent="0.3">
      <c r="A4" s="48" t="str">
        <f>VLOOKUP(5065,LANGUAGE_DB,2)</f>
        <v>letzter  Eintrag in Zeile</v>
      </c>
      <c r="C4" s="46">
        <f>ROW(D46)-1</f>
        <v>45</v>
      </c>
    </row>
    <row r="5" spans="1:6" s="128" customFormat="1" hidden="1" outlineLevel="1" x14ac:dyDescent="0.25"/>
    <row r="6" spans="1:6" s="128" customFormat="1" hidden="1" outlineLevel="1" x14ac:dyDescent="0.25">
      <c r="A6" s="48"/>
      <c r="C6" s="49"/>
    </row>
    <row r="7" spans="1:6" s="128" customFormat="1" hidden="1" outlineLevel="1" x14ac:dyDescent="0.25">
      <c r="A7" s="48"/>
      <c r="C7" s="49"/>
    </row>
    <row r="8" spans="1:6" s="128" customFormat="1" hidden="1" outlineLevel="1" x14ac:dyDescent="0.25">
      <c r="A8" s="48"/>
      <c r="C8" s="49"/>
    </row>
    <row r="9" spans="1:6" s="128" customFormat="1" hidden="1" outlineLevel="1" x14ac:dyDescent="0.25">
      <c r="A9" s="48"/>
      <c r="C9" s="49"/>
    </row>
    <row r="10" spans="1:6" s="128" customFormat="1" hidden="1" outlineLevel="1" x14ac:dyDescent="0.25">
      <c r="A10" s="48"/>
      <c r="C10" s="49"/>
    </row>
    <row r="11" spans="1:6" s="128" customFormat="1" hidden="1" outlineLevel="1" x14ac:dyDescent="0.25">
      <c r="A11" s="48"/>
      <c r="C11" s="49"/>
    </row>
    <row r="12" spans="1:6" s="128" customFormat="1" hidden="1" outlineLevel="1" x14ac:dyDescent="0.25">
      <c r="A12" s="48"/>
      <c r="C12" s="49"/>
    </row>
    <row r="13" spans="1:6" s="128" customFormat="1" hidden="1" outlineLevel="1" x14ac:dyDescent="0.25">
      <c r="A13" s="48"/>
      <c r="C13" s="49"/>
    </row>
    <row r="14" spans="1:6" hidden="1" outlineLevel="1" x14ac:dyDescent="0.25">
      <c r="A14" s="153"/>
      <c r="C14" s="154"/>
    </row>
    <row r="15" spans="1:6" ht="18" collapsed="1" x14ac:dyDescent="0.25">
      <c r="A15" s="151" t="str">
        <f>VLOOKUP(1006,LANGUAGE_DB,2)</f>
        <v>Asset</v>
      </c>
      <c r="C15" s="154"/>
    </row>
    <row r="16" spans="1:6" ht="15.75" thickBot="1" x14ac:dyDescent="0.3">
      <c r="E16" s="24"/>
      <c r="F16" s="24"/>
    </row>
    <row r="17" spans="1:11" ht="30.75" thickBot="1" x14ac:dyDescent="0.3">
      <c r="A17" s="25" t="str">
        <f>VLOOKUP(5004,LANGUAGE_DB,2)</f>
        <v>Referenz Nummer</v>
      </c>
      <c r="B17" s="218" t="str">
        <f t="shared" ref="B17:B45" si="0">IF(E17="","",IF(Language_chosen=0,E17,F17))</f>
        <v>Assets</v>
      </c>
      <c r="C17" s="42" t="str">
        <f t="shared" ref="C17:C45" si="1">IF(G17="","",IF(Language_chosen=0,G17,H17))</f>
        <v>Beschreibung</v>
      </c>
      <c r="D17" s="21" t="s">
        <v>104</v>
      </c>
      <c r="E17" s="21" t="s">
        <v>224</v>
      </c>
      <c r="F17" s="21" t="s">
        <v>224</v>
      </c>
      <c r="G17" s="21" t="s">
        <v>208</v>
      </c>
      <c r="H17" s="21" t="s">
        <v>209</v>
      </c>
      <c r="I17" s="21"/>
      <c r="J17" s="14"/>
      <c r="K17" s="14"/>
    </row>
    <row r="18" spans="1:11" x14ac:dyDescent="0.25">
      <c r="A18" s="251" t="str">
        <f>CONCATENATE($C$3,IF(LEN(ROW(A18)-$C$2+1)=1,"00",IF(LEN(ROW(A18)-$C$2+1)=2,"0","")),ROW(A18)-$C$2+1)</f>
        <v>A001</v>
      </c>
      <c r="B18" s="252" t="str">
        <f t="shared" si="0"/>
        <v>Mobile "Smart" Devices</v>
      </c>
      <c r="C18" s="253" t="str">
        <f t="shared" si="1"/>
        <v/>
      </c>
      <c r="D18" s="254"/>
      <c r="E18" s="255" t="s">
        <v>111</v>
      </c>
      <c r="F18" s="255" t="s">
        <v>111</v>
      </c>
      <c r="G18" s="256"/>
      <c r="H18" s="256" t="s">
        <v>103</v>
      </c>
      <c r="I18" s="257"/>
      <c r="J18" s="257"/>
      <c r="K18" s="257"/>
    </row>
    <row r="19" spans="1:11" x14ac:dyDescent="0.25">
      <c r="A19" s="258" t="str">
        <f t="shared" ref="A19:A45" si="2">CONCATENATE($C$3,IF(LEN(ROW(A19)-$C$2+1)=1,"00",IF(LEN(ROW(A19)-$C$2+1)=2,"0","")),ROW(A19)-$C$2+1)</f>
        <v>A002</v>
      </c>
      <c r="B19" s="259" t="str">
        <f t="shared" si="0"/>
        <v>Kreditkarten</v>
      </c>
      <c r="C19" s="260" t="str">
        <f t="shared" si="1"/>
        <v/>
      </c>
      <c r="D19" s="257"/>
      <c r="E19" s="255" t="s">
        <v>227</v>
      </c>
      <c r="F19" s="255" t="s">
        <v>112</v>
      </c>
      <c r="G19" s="256"/>
      <c r="H19" s="256" t="s">
        <v>103</v>
      </c>
      <c r="I19" s="257"/>
      <c r="J19" s="257"/>
      <c r="K19" s="257"/>
    </row>
    <row r="20" spans="1:11" x14ac:dyDescent="0.25">
      <c r="A20" s="258" t="str">
        <f t="shared" si="2"/>
        <v>A003</v>
      </c>
      <c r="B20" s="259" t="str">
        <f t="shared" si="0"/>
        <v>lokaler Datenspeicher</v>
      </c>
      <c r="C20" s="260" t="str">
        <f t="shared" si="1"/>
        <v/>
      </c>
      <c r="D20" s="261"/>
      <c r="E20" s="262" t="s">
        <v>114</v>
      </c>
      <c r="F20" s="262" t="s">
        <v>115</v>
      </c>
      <c r="G20" s="263"/>
      <c r="H20" s="263"/>
      <c r="I20" s="257"/>
      <c r="J20" s="257"/>
      <c r="K20" s="257"/>
    </row>
    <row r="21" spans="1:11" x14ac:dyDescent="0.25">
      <c r="A21" s="258" t="str">
        <f t="shared" si="2"/>
        <v>A004</v>
      </c>
      <c r="B21" s="259" t="str">
        <f t="shared" si="0"/>
        <v>komplettes Smart Home System</v>
      </c>
      <c r="C21" s="260" t="str">
        <f t="shared" si="1"/>
        <v/>
      </c>
      <c r="D21" s="261"/>
      <c r="E21" s="262" t="s">
        <v>122</v>
      </c>
      <c r="F21" s="262" t="s">
        <v>123</v>
      </c>
      <c r="G21" s="263"/>
      <c r="H21" s="263"/>
      <c r="I21" s="257"/>
      <c r="J21" s="257"/>
      <c r="K21" s="257"/>
    </row>
    <row r="22" spans="1:11" x14ac:dyDescent="0.25">
      <c r="A22" s="258" t="str">
        <f t="shared" si="2"/>
        <v>A005</v>
      </c>
      <c r="B22" s="259" t="str">
        <f t="shared" si="0"/>
        <v>Lichtsteuerung</v>
      </c>
      <c r="C22" s="260" t="str">
        <f t="shared" si="1"/>
        <v/>
      </c>
      <c r="D22" s="261"/>
      <c r="E22" s="262" t="s">
        <v>186</v>
      </c>
      <c r="F22" s="262" t="s">
        <v>187</v>
      </c>
      <c r="G22" s="263"/>
      <c r="H22" s="263"/>
      <c r="I22" s="257"/>
      <c r="J22" s="257"/>
      <c r="K22" s="257"/>
    </row>
    <row r="23" spans="1:11" x14ac:dyDescent="0.25">
      <c r="A23" s="258" t="str">
        <f t="shared" si="2"/>
        <v>A006</v>
      </c>
      <c r="B23" s="259" t="str">
        <f t="shared" si="0"/>
        <v>WLAN Geräte</v>
      </c>
      <c r="C23" s="260" t="str">
        <f t="shared" si="1"/>
        <v/>
      </c>
      <c r="D23" s="261"/>
      <c r="E23" s="262" t="s">
        <v>188</v>
      </c>
      <c r="F23" s="262" t="s">
        <v>189</v>
      </c>
      <c r="G23" s="263"/>
      <c r="H23" s="263"/>
      <c r="I23" s="257"/>
      <c r="J23" s="257"/>
      <c r="K23" s="257"/>
    </row>
    <row r="24" spans="1:11" x14ac:dyDescent="0.25">
      <c r="A24" s="258" t="str">
        <f t="shared" si="2"/>
        <v>A007</v>
      </c>
      <c r="B24" s="259" t="str">
        <f t="shared" si="0"/>
        <v>Heizung</v>
      </c>
      <c r="C24" s="260" t="str">
        <f t="shared" si="1"/>
        <v/>
      </c>
      <c r="D24" s="261"/>
      <c r="E24" s="262" t="s">
        <v>190</v>
      </c>
      <c r="F24" s="262" t="s">
        <v>191</v>
      </c>
      <c r="G24" s="263"/>
      <c r="H24" s="263"/>
      <c r="I24" s="257"/>
      <c r="J24" s="257"/>
      <c r="K24" s="257"/>
    </row>
    <row r="25" spans="1:11" x14ac:dyDescent="0.25">
      <c r="A25" s="258" t="str">
        <f t="shared" si="2"/>
        <v>A008</v>
      </c>
      <c r="B25" s="259" t="str">
        <f t="shared" si="0"/>
        <v>Firewall</v>
      </c>
      <c r="C25" s="260" t="str">
        <f t="shared" si="1"/>
        <v/>
      </c>
      <c r="D25" s="261"/>
      <c r="E25" s="262" t="s">
        <v>192</v>
      </c>
      <c r="F25" s="262" t="s">
        <v>193</v>
      </c>
      <c r="G25" s="263"/>
      <c r="H25" s="263"/>
      <c r="I25" s="257"/>
      <c r="J25" s="257"/>
      <c r="K25" s="257"/>
    </row>
    <row r="26" spans="1:11" x14ac:dyDescent="0.25">
      <c r="A26" s="258" t="str">
        <f t="shared" si="2"/>
        <v>A009</v>
      </c>
      <c r="B26" s="259" t="str">
        <f t="shared" si="0"/>
        <v>Streaming Dienste</v>
      </c>
      <c r="C26" s="260" t="str">
        <f t="shared" si="1"/>
        <v/>
      </c>
      <c r="D26" s="261"/>
      <c r="E26" s="262" t="s">
        <v>194</v>
      </c>
      <c r="F26" s="262" t="s">
        <v>195</v>
      </c>
      <c r="G26" s="263"/>
      <c r="H26" s="263"/>
      <c r="I26" s="257"/>
      <c r="J26" s="257"/>
      <c r="K26" s="257"/>
    </row>
    <row r="27" spans="1:11" x14ac:dyDescent="0.25">
      <c r="A27" s="258" t="str">
        <f t="shared" si="2"/>
        <v>A010</v>
      </c>
      <c r="B27" s="259" t="str">
        <f t="shared" si="0"/>
        <v>persönliche Wertgegenstände</v>
      </c>
      <c r="C27" s="260" t="str">
        <f t="shared" si="1"/>
        <v/>
      </c>
      <c r="D27" s="261"/>
      <c r="E27" s="262" t="s">
        <v>196</v>
      </c>
      <c r="F27" s="264" t="s">
        <v>197</v>
      </c>
      <c r="G27" s="263"/>
      <c r="H27" s="263"/>
      <c r="I27" s="257"/>
      <c r="J27" s="257"/>
      <c r="K27" s="257"/>
    </row>
    <row r="28" spans="1:11" x14ac:dyDescent="0.25">
      <c r="A28" s="258" t="str">
        <f t="shared" si="2"/>
        <v>A011</v>
      </c>
      <c r="B28" s="259" t="str">
        <f t="shared" si="0"/>
        <v>persönliche Identität</v>
      </c>
      <c r="C28" s="260" t="str">
        <f t="shared" si="1"/>
        <v/>
      </c>
      <c r="D28" s="261"/>
      <c r="E28" s="262" t="s">
        <v>198</v>
      </c>
      <c r="F28" s="262" t="s">
        <v>199</v>
      </c>
      <c r="G28" s="263"/>
      <c r="H28" s="263"/>
      <c r="I28" s="257"/>
      <c r="J28" s="257"/>
      <c r="K28" s="257"/>
    </row>
    <row r="29" spans="1:11" x14ac:dyDescent="0.25">
      <c r="A29" s="258" t="str">
        <f t="shared" si="2"/>
        <v>A012</v>
      </c>
      <c r="B29" s="259" t="str">
        <f t="shared" si="0"/>
        <v>eigenes Leben</v>
      </c>
      <c r="C29" s="260" t="str">
        <f t="shared" si="1"/>
        <v/>
      </c>
      <c r="D29" s="261"/>
      <c r="E29" s="262" t="s">
        <v>200</v>
      </c>
      <c r="F29" s="262" t="s">
        <v>201</v>
      </c>
      <c r="G29" s="263"/>
      <c r="H29" s="263"/>
      <c r="I29" s="257"/>
      <c r="J29" s="257"/>
      <c r="K29" s="257"/>
    </row>
    <row r="30" spans="1:11" x14ac:dyDescent="0.25">
      <c r="A30" s="258" t="str">
        <f t="shared" si="2"/>
        <v>A013</v>
      </c>
      <c r="B30" s="259" t="str">
        <f t="shared" si="0"/>
        <v>Internet Anbindung</v>
      </c>
      <c r="C30" s="260" t="str">
        <f t="shared" si="1"/>
        <v/>
      </c>
      <c r="D30" s="261"/>
      <c r="E30" s="262" t="s">
        <v>228</v>
      </c>
      <c r="F30" s="262" t="s">
        <v>229</v>
      </c>
      <c r="G30" s="263"/>
      <c r="H30" s="263"/>
      <c r="I30" s="257"/>
      <c r="J30" s="257"/>
      <c r="K30" s="257"/>
    </row>
    <row r="31" spans="1:11" x14ac:dyDescent="0.25">
      <c r="A31" s="258" t="str">
        <f t="shared" si="2"/>
        <v>A014</v>
      </c>
      <c r="B31" s="259" t="str">
        <f t="shared" si="0"/>
        <v>persönliche Daten</v>
      </c>
      <c r="C31" s="260" t="str">
        <f t="shared" si="1"/>
        <v/>
      </c>
      <c r="D31" s="261"/>
      <c r="E31" s="262" t="s">
        <v>290</v>
      </c>
      <c r="F31" s="262" t="s">
        <v>291</v>
      </c>
      <c r="G31" s="263"/>
      <c r="H31" s="263"/>
      <c r="I31" s="257"/>
      <c r="J31" s="257"/>
      <c r="K31" s="257"/>
    </row>
    <row r="32" spans="1:11" x14ac:dyDescent="0.25">
      <c r="A32" s="258" t="str">
        <f t="shared" si="2"/>
        <v>A015</v>
      </c>
      <c r="B32" s="259" t="str">
        <f t="shared" si="0"/>
        <v>Kommunikation zwischen IoT Geräten</v>
      </c>
      <c r="C32" s="260" t="str">
        <f t="shared" si="1"/>
        <v/>
      </c>
      <c r="D32" s="261"/>
      <c r="E32" s="262" t="s">
        <v>677</v>
      </c>
      <c r="F32" s="262" t="s">
        <v>678</v>
      </c>
      <c r="G32" s="263"/>
      <c r="H32" s="263"/>
      <c r="I32" s="257"/>
      <c r="J32" s="257"/>
      <c r="K32" s="257"/>
    </row>
    <row r="33" spans="1:11" x14ac:dyDescent="0.25">
      <c r="A33" s="258" t="str">
        <f t="shared" si="2"/>
        <v>A016</v>
      </c>
      <c r="B33" s="259" t="str">
        <f t="shared" si="0"/>
        <v>e-Health Geräte</v>
      </c>
      <c r="C33" s="260" t="str">
        <f t="shared" si="1"/>
        <v/>
      </c>
      <c r="D33" s="261"/>
      <c r="E33" s="262" t="s">
        <v>292</v>
      </c>
      <c r="F33" s="262" t="s">
        <v>293</v>
      </c>
      <c r="G33" s="263"/>
      <c r="H33" s="263"/>
      <c r="I33" s="257"/>
      <c r="J33" s="257"/>
      <c r="K33" s="257"/>
    </row>
    <row r="34" spans="1:11" x14ac:dyDescent="0.25">
      <c r="A34" s="258" t="str">
        <f t="shared" si="2"/>
        <v>A017</v>
      </c>
      <c r="B34" s="259" t="str">
        <f t="shared" si="0"/>
        <v>Waschmaschine</v>
      </c>
      <c r="C34" s="260" t="str">
        <f t="shared" si="1"/>
        <v/>
      </c>
      <c r="D34" s="257"/>
      <c r="E34" s="262" t="s">
        <v>573</v>
      </c>
      <c r="F34" s="262" t="s">
        <v>574</v>
      </c>
      <c r="G34" s="263"/>
      <c r="H34" s="263"/>
      <c r="I34" s="257"/>
      <c r="J34" s="257"/>
      <c r="K34" s="257"/>
    </row>
    <row r="35" spans="1:11" x14ac:dyDescent="0.25">
      <c r="A35" s="258" t="str">
        <f t="shared" si="2"/>
        <v>A018</v>
      </c>
      <c r="B35" s="259" t="str">
        <f t="shared" si="0"/>
        <v>Stromkreis</v>
      </c>
      <c r="C35" s="260" t="str">
        <f t="shared" si="1"/>
        <v/>
      </c>
      <c r="D35" s="257"/>
      <c r="E35" s="262" t="s">
        <v>575</v>
      </c>
      <c r="F35" s="262" t="s">
        <v>576</v>
      </c>
      <c r="G35" s="263"/>
      <c r="H35" s="263"/>
      <c r="I35" s="257"/>
      <c r="J35" s="257"/>
      <c r="K35" s="257"/>
    </row>
    <row r="36" spans="1:11" x14ac:dyDescent="0.25">
      <c r="A36" s="258" t="str">
        <f t="shared" si="2"/>
        <v>A019</v>
      </c>
      <c r="B36" s="259" t="str">
        <f t="shared" si="0"/>
        <v>WLAN Infrastruktur</v>
      </c>
      <c r="C36" s="260" t="str">
        <f t="shared" si="1"/>
        <v/>
      </c>
      <c r="D36" s="257"/>
      <c r="E36" s="262" t="s">
        <v>577</v>
      </c>
      <c r="F36" s="262" t="s">
        <v>578</v>
      </c>
      <c r="G36" s="263"/>
      <c r="H36" s="263"/>
      <c r="I36" s="257"/>
      <c r="J36" s="257"/>
      <c r="K36" s="257"/>
    </row>
    <row r="37" spans="1:11" x14ac:dyDescent="0.25">
      <c r="A37" s="258" t="str">
        <f t="shared" si="2"/>
        <v>A020</v>
      </c>
      <c r="B37" s="259" t="str">
        <f t="shared" ref="B37:B43" si="3">IF(E37="","",IF(Language_chosen=0,E37,F37))</f>
        <v>Kühlschrank</v>
      </c>
      <c r="C37" s="260" t="str">
        <f t="shared" si="1"/>
        <v/>
      </c>
      <c r="D37" s="257"/>
      <c r="E37" s="262" t="s">
        <v>620</v>
      </c>
      <c r="F37" s="262" t="s">
        <v>621</v>
      </c>
      <c r="G37" s="263"/>
      <c r="H37" s="263"/>
      <c r="I37" s="257"/>
      <c r="J37" s="257"/>
      <c r="K37" s="257"/>
    </row>
    <row r="38" spans="1:11" x14ac:dyDescent="0.25">
      <c r="A38" s="258" t="str">
        <f t="shared" si="2"/>
        <v>A021</v>
      </c>
      <c r="B38" s="259" t="str">
        <f t="shared" si="3"/>
        <v>online Konten</v>
      </c>
      <c r="C38" s="260" t="str">
        <f t="shared" si="1"/>
        <v/>
      </c>
      <c r="D38" s="257"/>
      <c r="E38" s="262" t="s">
        <v>663</v>
      </c>
      <c r="F38" s="262" t="s">
        <v>664</v>
      </c>
      <c r="G38" s="263"/>
      <c r="H38" s="263"/>
      <c r="I38" s="257"/>
      <c r="J38" s="257"/>
      <c r="K38" s="257"/>
    </row>
    <row r="39" spans="1:11" x14ac:dyDescent="0.25">
      <c r="A39" s="258" t="str">
        <f t="shared" si="2"/>
        <v>A022</v>
      </c>
      <c r="B39" s="259" t="str">
        <f t="shared" si="3"/>
        <v>alle IOT Geräte</v>
      </c>
      <c r="C39" s="260" t="str">
        <f t="shared" si="1"/>
        <v/>
      </c>
      <c r="D39" s="257"/>
      <c r="E39" s="262" t="s">
        <v>716</v>
      </c>
      <c r="F39" s="262" t="s">
        <v>717</v>
      </c>
      <c r="G39" s="263"/>
      <c r="H39" s="263"/>
      <c r="I39" s="257"/>
      <c r="J39" s="257"/>
      <c r="K39" s="257"/>
    </row>
    <row r="40" spans="1:11" x14ac:dyDescent="0.25">
      <c r="A40" s="258" t="str">
        <f t="shared" si="2"/>
        <v>A023</v>
      </c>
      <c r="B40" s="259" t="str">
        <f t="shared" si="3"/>
        <v>Schliesssysteme</v>
      </c>
      <c r="C40" s="260" t="str">
        <f t="shared" si="1"/>
        <v/>
      </c>
      <c r="D40" s="257"/>
      <c r="E40" s="262" t="s">
        <v>821</v>
      </c>
      <c r="F40" s="262" t="s">
        <v>755</v>
      </c>
      <c r="G40" s="263"/>
      <c r="H40" s="263"/>
      <c r="I40" s="257"/>
      <c r="J40" s="257"/>
      <c r="K40" s="257"/>
    </row>
    <row r="41" spans="1:11" x14ac:dyDescent="0.25">
      <c r="A41" s="258" t="str">
        <f t="shared" si="2"/>
        <v>A024</v>
      </c>
      <c r="B41" s="259" t="str">
        <f t="shared" si="3"/>
        <v>Videoüberwachung</v>
      </c>
      <c r="C41" s="260" t="str">
        <f t="shared" si="1"/>
        <v/>
      </c>
      <c r="D41" s="257"/>
      <c r="E41" s="262" t="s">
        <v>783</v>
      </c>
      <c r="F41" s="262" t="s">
        <v>784</v>
      </c>
      <c r="G41" s="263"/>
      <c r="H41" s="263"/>
      <c r="I41" s="257"/>
      <c r="J41" s="257"/>
      <c r="K41" s="257"/>
    </row>
    <row r="42" spans="1:11" x14ac:dyDescent="0.25">
      <c r="A42" s="258" t="str">
        <f t="shared" si="2"/>
        <v>A025</v>
      </c>
      <c r="B42" s="259" t="str">
        <f t="shared" si="3"/>
        <v>Auto</v>
      </c>
      <c r="C42" s="260" t="str">
        <f t="shared" si="1"/>
        <v/>
      </c>
      <c r="D42" s="257"/>
      <c r="E42" s="262" t="s">
        <v>791</v>
      </c>
      <c r="F42" s="262" t="s">
        <v>792</v>
      </c>
      <c r="G42" s="263"/>
      <c r="H42" s="263"/>
      <c r="I42" s="257"/>
      <c r="J42" s="257"/>
      <c r="K42" s="257"/>
    </row>
    <row r="43" spans="1:11" x14ac:dyDescent="0.25">
      <c r="A43" s="258" t="str">
        <f t="shared" si="2"/>
        <v>A026</v>
      </c>
      <c r="B43" s="259" t="str">
        <f t="shared" si="3"/>
        <v/>
      </c>
      <c r="C43" s="260" t="str">
        <f t="shared" si="1"/>
        <v/>
      </c>
      <c r="D43" s="257"/>
      <c r="E43" s="262"/>
      <c r="F43" s="262"/>
      <c r="G43" s="263"/>
      <c r="H43" s="263"/>
      <c r="I43" s="257"/>
      <c r="J43" s="257"/>
      <c r="K43" s="257"/>
    </row>
    <row r="44" spans="1:11" x14ac:dyDescent="0.25">
      <c r="A44" s="258" t="str">
        <f t="shared" si="2"/>
        <v>A027</v>
      </c>
      <c r="B44" s="259" t="str">
        <f t="shared" si="0"/>
        <v/>
      </c>
      <c r="C44" s="260" t="str">
        <f t="shared" si="1"/>
        <v/>
      </c>
      <c r="D44" s="257"/>
      <c r="E44" s="262"/>
      <c r="F44" s="262"/>
      <c r="G44" s="263"/>
      <c r="H44" s="263"/>
      <c r="I44" s="257"/>
      <c r="J44" s="257"/>
      <c r="K44" s="257"/>
    </row>
    <row r="45" spans="1:11" ht="15.75" thickBot="1" x14ac:dyDescent="0.3">
      <c r="A45" s="265" t="str">
        <f t="shared" si="2"/>
        <v>A028</v>
      </c>
      <c r="B45" s="266" t="str">
        <f t="shared" si="0"/>
        <v/>
      </c>
      <c r="C45" s="267" t="str">
        <f t="shared" si="1"/>
        <v/>
      </c>
      <c r="D45" s="257"/>
      <c r="E45" s="262"/>
      <c r="F45" s="262"/>
      <c r="G45" s="263"/>
      <c r="H45" s="263"/>
      <c r="I45" s="257"/>
      <c r="J45" s="257"/>
      <c r="K45" s="257"/>
    </row>
    <row r="46" spans="1:11" x14ac:dyDescent="0.25">
      <c r="A46" s="268"/>
      <c r="B46" s="268"/>
      <c r="C46" s="268"/>
      <c r="D46" s="269" t="s">
        <v>171</v>
      </c>
      <c r="E46" s="257"/>
      <c r="F46" s="257"/>
      <c r="G46" s="257"/>
      <c r="H46" s="257"/>
      <c r="I46" s="257"/>
      <c r="J46" s="257"/>
      <c r="K46" s="257"/>
    </row>
    <row r="47" spans="1:11" x14ac:dyDescent="0.25">
      <c r="A47" s="268"/>
      <c r="B47" s="268"/>
      <c r="C47" s="268"/>
      <c r="D47" s="257"/>
      <c r="E47" s="257"/>
      <c r="F47" s="257"/>
      <c r="G47" s="257"/>
      <c r="H47" s="257"/>
      <c r="I47" s="257"/>
      <c r="J47" s="257"/>
      <c r="K47" s="257"/>
    </row>
    <row r="48" spans="1:11" x14ac:dyDescent="0.25">
      <c r="A48" s="268"/>
      <c r="B48" s="268"/>
      <c r="C48" s="268"/>
      <c r="D48" s="257"/>
      <c r="E48" s="257"/>
      <c r="F48" s="257"/>
      <c r="G48" s="257"/>
      <c r="H48" s="257"/>
      <c r="I48" s="257"/>
      <c r="J48" s="257"/>
      <c r="K48" s="257"/>
    </row>
    <row r="49" spans="1:11" x14ac:dyDescent="0.25">
      <c r="A49" s="268"/>
      <c r="B49" s="268"/>
      <c r="C49" s="268"/>
      <c r="D49" s="257"/>
      <c r="E49" s="257"/>
      <c r="F49" s="257"/>
      <c r="G49" s="257"/>
      <c r="H49" s="257"/>
      <c r="I49" s="257"/>
      <c r="J49" s="257"/>
      <c r="K49" s="257"/>
    </row>
    <row r="50" spans="1:11" x14ac:dyDescent="0.25">
      <c r="A50" s="268"/>
      <c r="B50" s="268"/>
      <c r="C50" s="268"/>
      <c r="D50" s="257"/>
      <c r="E50" s="257"/>
      <c r="F50" s="257"/>
      <c r="G50" s="257"/>
      <c r="H50" s="257"/>
      <c r="I50" s="257"/>
      <c r="J50" s="257"/>
      <c r="K50" s="257"/>
    </row>
    <row r="51" spans="1:11" x14ac:dyDescent="0.25">
      <c r="A51" s="268"/>
      <c r="B51" s="268"/>
      <c r="C51" s="268"/>
      <c r="D51" s="257"/>
      <c r="E51" s="257"/>
      <c r="F51" s="257"/>
      <c r="G51" s="257"/>
      <c r="H51" s="257"/>
      <c r="I51" s="257"/>
      <c r="J51" s="257"/>
      <c r="K51" s="257"/>
    </row>
    <row r="52" spans="1:11" x14ac:dyDescent="0.25">
      <c r="A52" s="268"/>
      <c r="B52" s="268"/>
      <c r="C52" s="268"/>
      <c r="D52" s="257"/>
      <c r="E52" s="257"/>
      <c r="F52" s="257"/>
      <c r="G52" s="257"/>
      <c r="H52" s="257"/>
      <c r="I52" s="257"/>
      <c r="J52" s="257"/>
      <c r="K52" s="257"/>
    </row>
    <row r="53" spans="1:11" x14ac:dyDescent="0.25">
      <c r="A53" s="268"/>
      <c r="B53" s="268"/>
      <c r="C53" s="268"/>
      <c r="D53" s="257"/>
      <c r="E53" s="257"/>
      <c r="F53" s="257"/>
      <c r="G53" s="257"/>
      <c r="H53" s="257"/>
      <c r="I53" s="257"/>
      <c r="J53" s="257"/>
      <c r="K53" s="257"/>
    </row>
    <row r="54" spans="1:11" x14ac:dyDescent="0.25">
      <c r="A54" s="268"/>
      <c r="B54" s="268"/>
      <c r="C54" s="268"/>
      <c r="D54" s="257"/>
      <c r="E54" s="257"/>
      <c r="F54" s="257"/>
      <c r="G54" s="257"/>
      <c r="H54" s="257"/>
      <c r="I54" s="257"/>
      <c r="J54" s="257"/>
      <c r="K54" s="257"/>
    </row>
    <row r="55" spans="1:11" x14ac:dyDescent="0.25">
      <c r="A55" s="268"/>
      <c r="B55" s="268"/>
      <c r="C55" s="268"/>
      <c r="D55" s="257"/>
      <c r="E55" s="257"/>
      <c r="F55" s="257"/>
      <c r="G55" s="257"/>
      <c r="H55" s="257"/>
      <c r="I55" s="257"/>
      <c r="J55" s="257"/>
      <c r="K55" s="257"/>
    </row>
    <row r="56" spans="1:11" x14ac:dyDescent="0.25">
      <c r="A56" s="268"/>
      <c r="B56" s="268"/>
      <c r="C56" s="268"/>
      <c r="D56" s="257"/>
      <c r="E56" s="257"/>
      <c r="F56" s="257"/>
      <c r="G56" s="257"/>
      <c r="H56" s="257"/>
      <c r="I56" s="257"/>
      <c r="J56" s="257"/>
      <c r="K56" s="257"/>
    </row>
    <row r="57" spans="1:11" x14ac:dyDescent="0.25">
      <c r="A57" s="268"/>
      <c r="B57" s="268"/>
      <c r="C57" s="268"/>
      <c r="D57" s="257"/>
      <c r="E57" s="257"/>
      <c r="F57" s="257"/>
      <c r="G57" s="257"/>
      <c r="H57" s="257"/>
      <c r="I57" s="257"/>
      <c r="J57" s="257"/>
      <c r="K57" s="257"/>
    </row>
    <row r="58" spans="1:11" x14ac:dyDescent="0.25">
      <c r="A58" s="268"/>
      <c r="B58" s="268"/>
      <c r="C58" s="268"/>
      <c r="D58" s="257"/>
      <c r="E58" s="257"/>
      <c r="F58" s="257"/>
      <c r="G58" s="257"/>
      <c r="H58" s="257"/>
      <c r="I58" s="257"/>
      <c r="J58" s="257"/>
      <c r="K58" s="257"/>
    </row>
    <row r="59" spans="1:11" x14ac:dyDescent="0.25">
      <c r="A59" s="268"/>
      <c r="B59" s="268"/>
      <c r="C59" s="268"/>
      <c r="D59" s="257"/>
      <c r="E59" s="257"/>
      <c r="F59" s="257"/>
      <c r="G59" s="257"/>
      <c r="H59" s="257"/>
      <c r="I59" s="257"/>
      <c r="J59" s="257"/>
      <c r="K59" s="257"/>
    </row>
    <row r="60" spans="1:11" x14ac:dyDescent="0.25">
      <c r="A60" s="268"/>
      <c r="B60" s="268"/>
      <c r="C60" s="268"/>
      <c r="D60" s="257"/>
      <c r="E60" s="257"/>
      <c r="F60" s="257"/>
      <c r="G60" s="257"/>
      <c r="H60" s="257"/>
      <c r="I60" s="257"/>
      <c r="J60" s="257"/>
      <c r="K60" s="257"/>
    </row>
    <row r="61" spans="1:11" x14ac:dyDescent="0.25">
      <c r="A61" s="268"/>
      <c r="B61" s="268"/>
      <c r="C61" s="268"/>
      <c r="D61" s="257"/>
      <c r="E61" s="257"/>
      <c r="F61" s="257"/>
      <c r="G61" s="257"/>
      <c r="H61" s="257"/>
      <c r="I61" s="257"/>
      <c r="J61" s="257"/>
      <c r="K61" s="257"/>
    </row>
    <row r="62" spans="1:11" x14ac:dyDescent="0.25">
      <c r="A62" s="268"/>
      <c r="B62" s="268"/>
      <c r="C62" s="268"/>
      <c r="D62" s="257"/>
      <c r="E62" s="257"/>
      <c r="F62" s="257"/>
      <c r="G62" s="257"/>
      <c r="H62" s="257"/>
      <c r="I62" s="257"/>
      <c r="J62" s="257"/>
      <c r="K62" s="257"/>
    </row>
    <row r="63" spans="1:11" x14ac:dyDescent="0.25">
      <c r="A63" s="268"/>
      <c r="B63" s="268"/>
      <c r="C63" s="268"/>
      <c r="D63" s="257"/>
      <c r="E63" s="257"/>
      <c r="F63" s="257"/>
      <c r="G63" s="257"/>
      <c r="H63" s="257"/>
      <c r="I63" s="257"/>
      <c r="J63" s="257"/>
      <c r="K63" s="257"/>
    </row>
    <row r="64" spans="1:11" x14ac:dyDescent="0.25">
      <c r="A64" s="268"/>
      <c r="B64" s="268"/>
      <c r="C64" s="268"/>
      <c r="D64" s="257"/>
      <c r="E64" s="257"/>
      <c r="F64" s="257"/>
      <c r="G64" s="257"/>
      <c r="H64" s="257"/>
      <c r="I64" s="257"/>
      <c r="J64" s="257"/>
      <c r="K64" s="257"/>
    </row>
    <row r="65" spans="1:11" x14ac:dyDescent="0.25">
      <c r="A65" s="268"/>
      <c r="B65" s="268"/>
      <c r="C65" s="268"/>
      <c r="D65" s="257"/>
      <c r="E65" s="257"/>
      <c r="F65" s="257"/>
      <c r="G65" s="257"/>
      <c r="H65" s="257"/>
      <c r="I65" s="257"/>
      <c r="J65" s="257"/>
      <c r="K65" s="257"/>
    </row>
    <row r="66" spans="1:11" x14ac:dyDescent="0.25">
      <c r="A66" s="268"/>
      <c r="B66" s="268"/>
      <c r="C66" s="268"/>
      <c r="D66" s="257"/>
      <c r="E66" s="257"/>
      <c r="F66" s="257"/>
      <c r="G66" s="257"/>
      <c r="H66" s="257"/>
      <c r="I66" s="257"/>
      <c r="J66" s="257"/>
      <c r="K66" s="257"/>
    </row>
    <row r="67" spans="1:11" x14ac:dyDescent="0.25">
      <c r="A67" s="268"/>
      <c r="B67" s="268"/>
      <c r="C67" s="268"/>
      <c r="D67" s="257"/>
      <c r="E67" s="257"/>
      <c r="F67" s="257"/>
      <c r="G67" s="257"/>
      <c r="H67" s="257"/>
      <c r="I67" s="257"/>
      <c r="J67" s="257"/>
      <c r="K67" s="257"/>
    </row>
    <row r="68" spans="1:11" x14ac:dyDescent="0.25">
      <c r="A68" s="268"/>
      <c r="B68" s="268"/>
      <c r="C68" s="268"/>
      <c r="D68" s="257"/>
      <c r="E68" s="257"/>
      <c r="F68" s="257"/>
      <c r="G68" s="257"/>
      <c r="H68" s="257"/>
      <c r="I68" s="257"/>
      <c r="J68" s="257"/>
      <c r="K68" s="257"/>
    </row>
    <row r="69" spans="1:11" x14ac:dyDescent="0.25">
      <c r="A69" s="268"/>
      <c r="B69" s="268"/>
      <c r="C69" s="268"/>
      <c r="D69" s="257"/>
      <c r="E69" s="257"/>
      <c r="F69" s="257"/>
      <c r="G69" s="257"/>
      <c r="H69" s="257"/>
      <c r="I69" s="257"/>
      <c r="J69" s="257"/>
      <c r="K69" s="257"/>
    </row>
    <row r="70" spans="1:11" x14ac:dyDescent="0.25">
      <c r="A70" s="268"/>
      <c r="B70" s="268"/>
      <c r="C70" s="268"/>
      <c r="D70" s="257"/>
      <c r="E70" s="257"/>
      <c r="F70" s="257"/>
      <c r="G70" s="257"/>
      <c r="H70" s="257"/>
      <c r="I70" s="257"/>
      <c r="J70" s="257"/>
      <c r="K70" s="257"/>
    </row>
    <row r="71" spans="1:11" x14ac:dyDescent="0.25">
      <c r="A71" s="268"/>
      <c r="B71" s="268"/>
      <c r="C71" s="268"/>
      <c r="D71" s="257"/>
      <c r="E71" s="257"/>
      <c r="F71" s="257"/>
      <c r="G71" s="257"/>
      <c r="H71" s="257"/>
      <c r="I71" s="257"/>
      <c r="J71" s="257"/>
      <c r="K71" s="257"/>
    </row>
    <row r="72" spans="1:11" x14ac:dyDescent="0.25">
      <c r="A72" s="268"/>
      <c r="B72" s="268"/>
      <c r="C72" s="268"/>
      <c r="D72" s="257"/>
      <c r="E72" s="257"/>
      <c r="F72" s="257"/>
      <c r="G72" s="257"/>
      <c r="H72" s="257"/>
      <c r="I72" s="257"/>
      <c r="J72" s="257"/>
      <c r="K72" s="257"/>
    </row>
    <row r="73" spans="1:11" x14ac:dyDescent="0.25">
      <c r="A73" s="268"/>
      <c r="B73" s="268"/>
      <c r="C73" s="268"/>
      <c r="D73" s="257"/>
      <c r="E73" s="257"/>
      <c r="F73" s="257"/>
      <c r="G73" s="257"/>
      <c r="H73" s="257"/>
      <c r="I73" s="257"/>
      <c r="J73" s="257"/>
      <c r="K73" s="257"/>
    </row>
    <row r="74" spans="1:11" x14ac:dyDescent="0.25">
      <c r="A74" s="268"/>
      <c r="B74" s="268"/>
      <c r="C74" s="268"/>
      <c r="D74" s="257"/>
      <c r="E74" s="257"/>
      <c r="F74" s="257"/>
      <c r="G74" s="257"/>
      <c r="H74" s="257"/>
      <c r="I74" s="257"/>
      <c r="J74" s="257"/>
      <c r="K74" s="257"/>
    </row>
    <row r="75" spans="1:11" x14ac:dyDescent="0.25">
      <c r="A75" s="268"/>
      <c r="B75" s="268"/>
      <c r="C75" s="268"/>
      <c r="D75" s="257"/>
      <c r="E75" s="257"/>
      <c r="F75" s="257"/>
      <c r="G75" s="257"/>
      <c r="H75" s="257"/>
      <c r="I75" s="257"/>
      <c r="J75" s="257"/>
      <c r="K75" s="257"/>
    </row>
    <row r="76" spans="1:11" x14ac:dyDescent="0.25">
      <c r="A76" s="268"/>
      <c r="B76" s="268"/>
      <c r="C76" s="268"/>
      <c r="D76" s="257"/>
      <c r="E76" s="257"/>
      <c r="F76" s="257"/>
      <c r="G76" s="257"/>
      <c r="H76" s="257"/>
      <c r="I76" s="257"/>
      <c r="J76" s="257"/>
      <c r="K76" s="257"/>
    </row>
    <row r="77" spans="1:11" x14ac:dyDescent="0.25">
      <c r="A77" s="268"/>
      <c r="B77" s="268"/>
      <c r="C77" s="268"/>
      <c r="D77" s="257"/>
      <c r="E77" s="257"/>
      <c r="F77" s="257"/>
      <c r="G77" s="257"/>
      <c r="H77" s="257"/>
      <c r="I77" s="257"/>
      <c r="J77" s="257"/>
      <c r="K77" s="257"/>
    </row>
    <row r="78" spans="1:11" x14ac:dyDescent="0.25">
      <c r="A78" s="268"/>
      <c r="B78" s="268"/>
      <c r="C78" s="268"/>
      <c r="D78" s="257"/>
      <c r="E78" s="257"/>
      <c r="F78" s="257"/>
      <c r="G78" s="257"/>
      <c r="H78" s="257"/>
      <c r="I78" s="257"/>
      <c r="J78" s="257"/>
      <c r="K78" s="257"/>
    </row>
    <row r="79" spans="1:11" x14ac:dyDescent="0.25">
      <c r="A79" s="268"/>
      <c r="B79" s="268"/>
      <c r="C79" s="268"/>
      <c r="D79" s="257"/>
      <c r="E79" s="257"/>
      <c r="F79" s="257"/>
      <c r="G79" s="257"/>
      <c r="H79" s="257"/>
      <c r="I79" s="257"/>
      <c r="J79" s="257"/>
      <c r="K79" s="257"/>
    </row>
    <row r="80" spans="1:11" x14ac:dyDescent="0.25">
      <c r="A80" s="268"/>
      <c r="B80" s="268"/>
      <c r="C80" s="268"/>
      <c r="D80" s="257"/>
      <c r="E80" s="257"/>
      <c r="F80" s="257"/>
      <c r="G80" s="257"/>
      <c r="H80" s="257"/>
      <c r="I80" s="257"/>
      <c r="J80" s="257"/>
      <c r="K80" s="257"/>
    </row>
    <row r="81" spans="1:11" x14ac:dyDescent="0.25">
      <c r="A81" s="268"/>
      <c r="B81" s="268"/>
      <c r="C81" s="268"/>
      <c r="D81" s="257"/>
      <c r="E81" s="257"/>
      <c r="F81" s="257"/>
      <c r="G81" s="257"/>
      <c r="H81" s="257"/>
      <c r="I81" s="257"/>
      <c r="J81" s="257"/>
      <c r="K81" s="257"/>
    </row>
    <row r="82" spans="1:11" x14ac:dyDescent="0.25">
      <c r="A82" s="268"/>
      <c r="B82" s="268"/>
      <c r="C82" s="268"/>
      <c r="D82" s="257"/>
      <c r="E82" s="257"/>
      <c r="F82" s="257"/>
      <c r="G82" s="257"/>
      <c r="H82" s="257"/>
      <c r="I82" s="257"/>
      <c r="J82" s="257"/>
      <c r="K82" s="257"/>
    </row>
    <row r="83" spans="1:11" x14ac:dyDescent="0.25">
      <c r="A83" s="268"/>
      <c r="B83" s="268"/>
      <c r="C83" s="268"/>
      <c r="D83" s="257"/>
      <c r="E83" s="257"/>
      <c r="F83" s="257"/>
      <c r="G83" s="257"/>
      <c r="H83" s="257"/>
      <c r="I83" s="257"/>
      <c r="J83" s="257"/>
      <c r="K83" s="257"/>
    </row>
    <row r="84" spans="1:11" x14ac:dyDescent="0.25">
      <c r="A84" s="268"/>
      <c r="B84" s="268"/>
      <c r="C84" s="268"/>
      <c r="D84" s="257"/>
      <c r="E84" s="257"/>
      <c r="F84" s="257"/>
      <c r="G84" s="257"/>
      <c r="H84" s="257"/>
      <c r="I84" s="257"/>
      <c r="J84" s="257"/>
      <c r="K84" s="257"/>
    </row>
    <row r="85" spans="1:11" x14ac:dyDescent="0.25">
      <c r="A85" s="268"/>
      <c r="B85" s="268"/>
      <c r="C85" s="268"/>
      <c r="D85" s="257"/>
      <c r="E85" s="257"/>
      <c r="F85" s="257"/>
      <c r="G85" s="257"/>
      <c r="H85" s="257"/>
      <c r="I85" s="257"/>
      <c r="J85" s="257"/>
      <c r="K85" s="257"/>
    </row>
    <row r="86" spans="1:11" x14ac:dyDescent="0.25">
      <c r="A86" s="268"/>
      <c r="B86" s="268"/>
      <c r="C86" s="268"/>
      <c r="D86" s="257"/>
      <c r="E86" s="257"/>
      <c r="F86" s="257"/>
      <c r="G86" s="257"/>
      <c r="H86" s="257"/>
      <c r="I86" s="257"/>
      <c r="J86" s="257"/>
      <c r="K86" s="257"/>
    </row>
    <row r="87" spans="1:11" x14ac:dyDescent="0.25">
      <c r="A87" s="268"/>
      <c r="B87" s="268"/>
      <c r="C87" s="268"/>
      <c r="D87" s="257"/>
      <c r="E87" s="257"/>
      <c r="F87" s="257"/>
      <c r="G87" s="257"/>
      <c r="H87" s="257"/>
      <c r="I87" s="257"/>
      <c r="J87" s="257"/>
      <c r="K87" s="257"/>
    </row>
    <row r="88" spans="1:11" x14ac:dyDescent="0.25">
      <c r="A88" s="268"/>
      <c r="B88" s="268"/>
      <c r="C88" s="268"/>
      <c r="D88" s="257"/>
      <c r="E88" s="257"/>
      <c r="F88" s="257"/>
      <c r="G88" s="257"/>
      <c r="H88" s="257"/>
      <c r="I88" s="257"/>
      <c r="J88" s="257"/>
      <c r="K88" s="257"/>
    </row>
    <row r="89" spans="1:11" x14ac:dyDescent="0.25">
      <c r="A89" s="268"/>
      <c r="B89" s="268"/>
      <c r="C89" s="268"/>
      <c r="D89" s="257"/>
      <c r="E89" s="257"/>
      <c r="F89" s="257"/>
      <c r="G89" s="257"/>
      <c r="H89" s="257"/>
      <c r="I89" s="257"/>
      <c r="J89" s="257"/>
      <c r="K89" s="257"/>
    </row>
    <row r="90" spans="1:11" x14ac:dyDescent="0.25">
      <c r="A90" s="268"/>
      <c r="B90" s="268"/>
      <c r="C90" s="268"/>
      <c r="D90" s="257"/>
      <c r="E90" s="257"/>
      <c r="F90" s="257"/>
      <c r="G90" s="257"/>
      <c r="H90" s="257"/>
      <c r="I90" s="257"/>
      <c r="J90" s="257"/>
      <c r="K90" s="257"/>
    </row>
    <row r="91" spans="1:11" x14ac:dyDescent="0.25">
      <c r="A91" s="268"/>
      <c r="B91" s="268"/>
      <c r="C91" s="268"/>
      <c r="D91" s="257"/>
      <c r="E91" s="257"/>
      <c r="F91" s="257"/>
      <c r="G91" s="257"/>
      <c r="H91" s="257"/>
      <c r="I91" s="257"/>
      <c r="J91" s="257"/>
      <c r="K91" s="257"/>
    </row>
    <row r="92" spans="1:11" x14ac:dyDescent="0.25">
      <c r="A92" s="268"/>
      <c r="B92" s="268"/>
      <c r="C92" s="268"/>
      <c r="D92" s="257"/>
      <c r="E92" s="257"/>
      <c r="F92" s="257"/>
      <c r="G92" s="257"/>
      <c r="H92" s="257"/>
      <c r="I92" s="257"/>
      <c r="J92" s="257"/>
      <c r="K92" s="257"/>
    </row>
    <row r="93" spans="1:11" x14ac:dyDescent="0.25">
      <c r="A93" s="268"/>
      <c r="B93" s="268"/>
      <c r="C93" s="268"/>
      <c r="D93" s="257"/>
      <c r="E93" s="257"/>
      <c r="F93" s="257"/>
      <c r="G93" s="257"/>
      <c r="H93" s="257"/>
      <c r="I93" s="257"/>
      <c r="J93" s="257"/>
      <c r="K93" s="257"/>
    </row>
    <row r="94" spans="1:11" x14ac:dyDescent="0.25">
      <c r="A94" s="268"/>
      <c r="B94" s="268"/>
      <c r="C94" s="268"/>
      <c r="D94" s="257"/>
      <c r="E94" s="257"/>
      <c r="F94" s="257"/>
      <c r="G94" s="257"/>
      <c r="H94" s="257"/>
      <c r="I94" s="257"/>
      <c r="J94" s="257"/>
      <c r="K94" s="257"/>
    </row>
    <row r="95" spans="1:11" x14ac:dyDescent="0.25">
      <c r="A95" s="268"/>
      <c r="B95" s="268"/>
      <c r="C95" s="268"/>
      <c r="D95" s="257"/>
      <c r="E95" s="257"/>
      <c r="F95" s="257"/>
      <c r="G95" s="257"/>
      <c r="H95" s="257"/>
      <c r="I95" s="257"/>
      <c r="J95" s="257"/>
      <c r="K95" s="257"/>
    </row>
    <row r="96" spans="1:11" x14ac:dyDescent="0.25">
      <c r="A96" s="268"/>
      <c r="B96" s="268"/>
      <c r="C96" s="268"/>
      <c r="D96" s="257"/>
      <c r="E96" s="257"/>
      <c r="F96" s="257"/>
      <c r="G96" s="257"/>
      <c r="H96" s="257"/>
      <c r="I96" s="257"/>
      <c r="J96" s="257"/>
      <c r="K96" s="257"/>
    </row>
    <row r="97" spans="1:11" x14ac:dyDescent="0.25">
      <c r="A97" s="268"/>
      <c r="B97" s="268"/>
      <c r="C97" s="268"/>
      <c r="D97" s="257"/>
      <c r="E97" s="257"/>
      <c r="F97" s="257"/>
      <c r="G97" s="257"/>
      <c r="H97" s="257"/>
      <c r="I97" s="257"/>
      <c r="J97" s="257"/>
      <c r="K97" s="257"/>
    </row>
    <row r="98" spans="1:11" x14ac:dyDescent="0.25">
      <c r="A98" s="268"/>
      <c r="B98" s="268"/>
      <c r="C98" s="268"/>
      <c r="D98" s="257"/>
      <c r="E98" s="257"/>
      <c r="F98" s="257"/>
      <c r="G98" s="257"/>
      <c r="H98" s="257"/>
      <c r="I98" s="257"/>
      <c r="J98" s="257"/>
      <c r="K98" s="257"/>
    </row>
    <row r="99" spans="1:11" x14ac:dyDescent="0.25">
      <c r="A99" s="268"/>
      <c r="B99" s="268"/>
      <c r="C99" s="268"/>
      <c r="D99" s="257"/>
      <c r="E99" s="257"/>
      <c r="F99" s="257"/>
      <c r="G99" s="257"/>
      <c r="H99" s="257"/>
      <c r="I99" s="257"/>
      <c r="J99" s="257"/>
      <c r="K99" s="257"/>
    </row>
    <row r="100" spans="1:11" x14ac:dyDescent="0.25">
      <c r="A100" s="268"/>
      <c r="B100" s="268"/>
      <c r="C100" s="268"/>
      <c r="D100" s="257"/>
      <c r="E100" s="257"/>
      <c r="F100" s="257"/>
      <c r="G100" s="257"/>
      <c r="H100" s="257"/>
      <c r="I100" s="257"/>
      <c r="J100" s="257"/>
      <c r="K100" s="257"/>
    </row>
    <row r="101" spans="1:11" x14ac:dyDescent="0.25">
      <c r="A101" s="268"/>
      <c r="B101" s="268"/>
      <c r="C101" s="268"/>
      <c r="D101" s="257"/>
      <c r="E101" s="257"/>
      <c r="F101" s="257"/>
      <c r="G101" s="257"/>
      <c r="H101" s="257"/>
      <c r="I101" s="257"/>
      <c r="J101" s="257"/>
      <c r="K101" s="257"/>
    </row>
    <row r="102" spans="1:11" x14ac:dyDescent="0.25">
      <c r="A102" s="268"/>
      <c r="B102" s="268"/>
      <c r="C102" s="268"/>
      <c r="D102" s="257"/>
      <c r="E102" s="257"/>
      <c r="F102" s="257"/>
      <c r="G102" s="257"/>
      <c r="H102" s="257"/>
      <c r="I102" s="257"/>
      <c r="J102" s="257"/>
      <c r="K102" s="257"/>
    </row>
    <row r="103" spans="1:11" x14ac:dyDescent="0.25">
      <c r="A103" s="268"/>
      <c r="B103" s="268"/>
      <c r="C103" s="268"/>
      <c r="D103" s="257"/>
      <c r="E103" s="257"/>
      <c r="F103" s="257"/>
      <c r="G103" s="257"/>
      <c r="H103" s="257"/>
      <c r="I103" s="257"/>
      <c r="J103" s="257"/>
      <c r="K103" s="257"/>
    </row>
    <row r="104" spans="1:11" x14ac:dyDescent="0.25">
      <c r="A104" s="268"/>
      <c r="B104" s="268"/>
      <c r="C104" s="268"/>
      <c r="D104" s="257"/>
      <c r="E104" s="257"/>
      <c r="F104" s="257"/>
      <c r="G104" s="257"/>
      <c r="H104" s="257"/>
      <c r="I104" s="257"/>
      <c r="J104" s="257"/>
      <c r="K104" s="257"/>
    </row>
    <row r="105" spans="1:11" x14ac:dyDescent="0.25">
      <c r="A105" s="268"/>
      <c r="B105" s="268"/>
      <c r="C105" s="268"/>
      <c r="D105" s="257"/>
      <c r="E105" s="257"/>
      <c r="F105" s="257"/>
      <c r="G105" s="257"/>
      <c r="H105" s="257"/>
      <c r="I105" s="257"/>
      <c r="J105" s="257"/>
      <c r="K105" s="257"/>
    </row>
    <row r="106" spans="1:11" x14ac:dyDescent="0.25">
      <c r="A106" s="268"/>
      <c r="B106" s="268"/>
      <c r="C106" s="268"/>
      <c r="D106" s="257"/>
      <c r="E106" s="257"/>
      <c r="F106" s="257"/>
      <c r="G106" s="257"/>
      <c r="H106" s="257"/>
      <c r="I106" s="257"/>
      <c r="J106" s="257"/>
      <c r="K106" s="257"/>
    </row>
    <row r="107" spans="1:11" x14ac:dyDescent="0.25">
      <c r="A107" s="268"/>
      <c r="B107" s="268"/>
      <c r="C107" s="268"/>
      <c r="D107" s="257"/>
      <c r="E107" s="257"/>
      <c r="F107" s="257"/>
      <c r="G107" s="257"/>
      <c r="H107" s="257"/>
      <c r="I107" s="257"/>
      <c r="J107" s="257"/>
      <c r="K107" s="257"/>
    </row>
    <row r="108" spans="1:11" x14ac:dyDescent="0.25">
      <c r="A108" s="268"/>
      <c r="B108" s="268"/>
      <c r="C108" s="268"/>
      <c r="D108" s="257"/>
      <c r="E108" s="257"/>
      <c r="F108" s="257"/>
      <c r="G108" s="257"/>
      <c r="H108" s="257"/>
      <c r="I108" s="257"/>
      <c r="J108" s="257"/>
      <c r="K108" s="257"/>
    </row>
    <row r="109" spans="1:11" x14ac:dyDescent="0.25">
      <c r="A109" s="268"/>
      <c r="B109" s="268"/>
      <c r="C109" s="268"/>
      <c r="D109" s="257"/>
      <c r="E109" s="257"/>
      <c r="F109" s="257"/>
      <c r="G109" s="257"/>
      <c r="H109" s="257"/>
      <c r="I109" s="257"/>
      <c r="J109" s="257"/>
      <c r="K109" s="257"/>
    </row>
    <row r="110" spans="1:11" x14ac:dyDescent="0.25">
      <c r="A110" s="268"/>
      <c r="B110" s="268"/>
      <c r="C110" s="268"/>
      <c r="D110" s="257"/>
      <c r="E110" s="257"/>
      <c r="F110" s="257"/>
      <c r="G110" s="257"/>
      <c r="H110" s="257"/>
      <c r="I110" s="257"/>
      <c r="J110" s="257"/>
      <c r="K110" s="257"/>
    </row>
    <row r="111" spans="1:11" x14ac:dyDescent="0.25">
      <c r="A111" s="268"/>
      <c r="B111" s="268"/>
      <c r="C111" s="268"/>
      <c r="D111" s="257"/>
      <c r="E111" s="257"/>
      <c r="F111" s="257"/>
      <c r="G111" s="257"/>
      <c r="H111" s="257"/>
      <c r="I111" s="257"/>
      <c r="J111" s="257"/>
      <c r="K111" s="257"/>
    </row>
    <row r="112" spans="1:11" x14ac:dyDescent="0.25">
      <c r="A112" s="268"/>
      <c r="B112" s="268"/>
      <c r="C112" s="268"/>
      <c r="D112" s="257"/>
      <c r="E112" s="257"/>
      <c r="F112" s="257"/>
      <c r="G112" s="257"/>
      <c r="H112" s="257"/>
      <c r="I112" s="257"/>
      <c r="J112" s="257"/>
      <c r="K112" s="257"/>
    </row>
    <row r="113" spans="1:11" x14ac:dyDescent="0.25">
      <c r="A113" s="268"/>
      <c r="B113" s="268"/>
      <c r="C113" s="268"/>
      <c r="D113" s="257"/>
      <c r="E113" s="257"/>
      <c r="F113" s="257"/>
      <c r="G113" s="257"/>
      <c r="H113" s="257"/>
      <c r="I113" s="257"/>
      <c r="J113" s="257"/>
      <c r="K113" s="257"/>
    </row>
    <row r="114" spans="1:11" x14ac:dyDescent="0.25">
      <c r="A114" s="268"/>
      <c r="B114" s="268"/>
      <c r="C114" s="268"/>
      <c r="D114" s="257"/>
      <c r="E114" s="257"/>
      <c r="F114" s="257"/>
      <c r="G114" s="257"/>
      <c r="H114" s="257"/>
      <c r="I114" s="257"/>
      <c r="J114" s="257"/>
      <c r="K114" s="257"/>
    </row>
    <row r="115" spans="1:11" x14ac:dyDescent="0.25">
      <c r="A115" s="268"/>
      <c r="B115" s="268"/>
      <c r="C115" s="268"/>
      <c r="D115" s="257"/>
      <c r="E115" s="257"/>
      <c r="F115" s="257"/>
      <c r="G115" s="257"/>
      <c r="H115" s="257"/>
      <c r="I115" s="257"/>
      <c r="J115" s="257"/>
      <c r="K115" s="257"/>
    </row>
    <row r="116" spans="1:11" x14ac:dyDescent="0.25">
      <c r="A116" s="268"/>
      <c r="B116" s="268"/>
      <c r="C116" s="268"/>
      <c r="D116" s="257"/>
      <c r="E116" s="257"/>
      <c r="F116" s="257"/>
      <c r="G116" s="257"/>
      <c r="H116" s="257"/>
      <c r="I116" s="257"/>
      <c r="J116" s="257"/>
      <c r="K116" s="257"/>
    </row>
    <row r="117" spans="1:11" x14ac:dyDescent="0.25">
      <c r="A117" s="268"/>
      <c r="B117" s="268"/>
      <c r="C117" s="268"/>
      <c r="D117" s="257"/>
      <c r="E117" s="257"/>
      <c r="F117" s="257"/>
      <c r="G117" s="257"/>
      <c r="H117" s="257"/>
      <c r="I117" s="257"/>
      <c r="J117" s="257"/>
      <c r="K117" s="257"/>
    </row>
    <row r="118" spans="1:11" x14ac:dyDescent="0.25">
      <c r="A118" s="268"/>
      <c r="B118" s="268"/>
      <c r="C118" s="268"/>
      <c r="D118" s="257"/>
      <c r="E118" s="257"/>
      <c r="F118" s="257"/>
      <c r="G118" s="257"/>
      <c r="H118" s="257"/>
      <c r="I118" s="257"/>
      <c r="J118" s="257"/>
      <c r="K118" s="257"/>
    </row>
    <row r="119" spans="1:11" x14ac:dyDescent="0.25">
      <c r="A119" s="268"/>
      <c r="B119" s="268"/>
      <c r="C119" s="268"/>
      <c r="D119" s="257"/>
      <c r="E119" s="257"/>
      <c r="F119" s="257"/>
      <c r="G119" s="257"/>
      <c r="H119" s="257"/>
      <c r="I119" s="257"/>
      <c r="J119" s="257"/>
      <c r="K119" s="257"/>
    </row>
    <row r="120" spans="1:11" x14ac:dyDescent="0.25">
      <c r="A120" s="268"/>
      <c r="B120" s="268"/>
      <c r="C120" s="268"/>
      <c r="D120" s="257"/>
      <c r="E120" s="257"/>
      <c r="F120" s="257"/>
      <c r="G120" s="257"/>
      <c r="H120" s="257"/>
      <c r="I120" s="257"/>
      <c r="J120" s="257"/>
      <c r="K120" s="257"/>
    </row>
    <row r="121" spans="1:11" x14ac:dyDescent="0.25">
      <c r="A121" s="268"/>
      <c r="B121" s="268"/>
      <c r="C121" s="268"/>
      <c r="D121" s="257"/>
      <c r="E121" s="257"/>
      <c r="F121" s="257"/>
      <c r="G121" s="257"/>
      <c r="H121" s="257"/>
      <c r="I121" s="257"/>
      <c r="J121" s="257"/>
      <c r="K121" s="257"/>
    </row>
    <row r="122" spans="1:11" x14ac:dyDescent="0.25">
      <c r="A122" s="268"/>
      <c r="B122" s="268"/>
      <c r="C122" s="268"/>
      <c r="D122" s="257"/>
      <c r="E122" s="257"/>
      <c r="F122" s="257"/>
      <c r="G122" s="257"/>
      <c r="H122" s="257"/>
      <c r="I122" s="257"/>
      <c r="J122" s="257"/>
      <c r="K122" s="257"/>
    </row>
    <row r="123" spans="1:11" x14ac:dyDescent="0.25">
      <c r="A123" s="268"/>
      <c r="B123" s="268"/>
      <c r="C123" s="268"/>
      <c r="D123" s="257"/>
      <c r="E123" s="257"/>
      <c r="F123" s="257"/>
      <c r="G123" s="257"/>
      <c r="H123" s="257"/>
      <c r="I123" s="257"/>
      <c r="J123" s="257"/>
      <c r="K123" s="257"/>
    </row>
    <row r="124" spans="1:11" x14ac:dyDescent="0.25">
      <c r="A124" s="268"/>
      <c r="B124" s="268"/>
      <c r="C124" s="268"/>
      <c r="D124" s="257"/>
      <c r="E124" s="257"/>
      <c r="F124" s="257"/>
      <c r="G124" s="257"/>
      <c r="H124" s="257"/>
      <c r="I124" s="257"/>
      <c r="J124" s="257"/>
      <c r="K124" s="257"/>
    </row>
    <row r="125" spans="1:11" x14ac:dyDescent="0.25">
      <c r="A125" s="268"/>
      <c r="B125" s="268"/>
      <c r="C125" s="268"/>
      <c r="D125" s="257"/>
      <c r="E125" s="257"/>
      <c r="F125" s="257"/>
      <c r="G125" s="257"/>
      <c r="H125" s="257"/>
      <c r="I125" s="257"/>
      <c r="J125" s="257"/>
      <c r="K125" s="257"/>
    </row>
    <row r="126" spans="1:11" x14ac:dyDescent="0.25">
      <c r="A126" s="268"/>
      <c r="B126" s="268"/>
      <c r="C126" s="268"/>
      <c r="D126" s="257"/>
      <c r="E126" s="257"/>
      <c r="F126" s="257"/>
      <c r="G126" s="257"/>
      <c r="H126" s="257"/>
      <c r="I126" s="257"/>
      <c r="J126" s="257"/>
      <c r="K126" s="257"/>
    </row>
    <row r="127" spans="1:11" x14ac:dyDescent="0.25">
      <c r="A127" s="268"/>
      <c r="B127" s="268"/>
      <c r="C127" s="268"/>
      <c r="D127" s="257"/>
      <c r="E127" s="257"/>
      <c r="F127" s="257"/>
      <c r="G127" s="257"/>
      <c r="H127" s="257"/>
      <c r="I127" s="257"/>
      <c r="J127" s="257"/>
      <c r="K127" s="257"/>
    </row>
    <row r="128" spans="1:11" x14ac:dyDescent="0.25">
      <c r="A128" s="268"/>
      <c r="B128" s="268"/>
      <c r="C128" s="268"/>
      <c r="D128" s="257"/>
      <c r="E128" s="257"/>
      <c r="F128" s="257"/>
      <c r="G128" s="257"/>
      <c r="H128" s="257"/>
      <c r="I128" s="257"/>
      <c r="J128" s="257"/>
      <c r="K128" s="257"/>
    </row>
    <row r="129" spans="1:11" x14ac:dyDescent="0.25">
      <c r="A129" s="268"/>
      <c r="B129" s="268"/>
      <c r="C129" s="268"/>
      <c r="D129" s="257"/>
      <c r="E129" s="257"/>
      <c r="F129" s="257"/>
      <c r="G129" s="257"/>
      <c r="H129" s="257"/>
      <c r="I129" s="257"/>
      <c r="J129" s="257"/>
      <c r="K129" s="257"/>
    </row>
    <row r="130" spans="1:11" x14ac:dyDescent="0.25">
      <c r="A130" s="268"/>
      <c r="B130" s="268"/>
      <c r="C130" s="268"/>
      <c r="D130" s="257"/>
      <c r="E130" s="257"/>
      <c r="F130" s="257"/>
      <c r="G130" s="257"/>
      <c r="H130" s="257"/>
      <c r="I130" s="257"/>
      <c r="J130" s="257"/>
      <c r="K130" s="257"/>
    </row>
    <row r="131" spans="1:11" x14ac:dyDescent="0.25">
      <c r="A131" s="268"/>
      <c r="B131" s="268"/>
      <c r="C131" s="268"/>
      <c r="D131" s="257"/>
      <c r="E131" s="257"/>
      <c r="F131" s="257"/>
      <c r="G131" s="257"/>
      <c r="H131" s="257"/>
      <c r="I131" s="257"/>
      <c r="J131" s="257"/>
      <c r="K131" s="257"/>
    </row>
    <row r="132" spans="1:11" x14ac:dyDescent="0.25">
      <c r="A132" s="268"/>
      <c r="B132" s="268"/>
      <c r="C132" s="268"/>
      <c r="D132" s="257"/>
      <c r="E132" s="257"/>
      <c r="F132" s="257"/>
      <c r="G132" s="257"/>
      <c r="H132" s="257"/>
      <c r="I132" s="257"/>
      <c r="J132" s="257"/>
      <c r="K132" s="257"/>
    </row>
    <row r="133" spans="1:11" x14ac:dyDescent="0.25">
      <c r="A133" s="268"/>
      <c r="B133" s="268"/>
      <c r="C133" s="268"/>
      <c r="D133" s="257"/>
      <c r="E133" s="257"/>
      <c r="F133" s="257"/>
      <c r="G133" s="257"/>
      <c r="H133" s="257"/>
      <c r="I133" s="257"/>
      <c r="J133" s="257"/>
      <c r="K133" s="257"/>
    </row>
    <row r="134" spans="1:11" x14ac:dyDescent="0.25">
      <c r="A134" s="268"/>
      <c r="B134" s="268"/>
      <c r="C134" s="268"/>
      <c r="D134" s="257"/>
      <c r="E134" s="257"/>
      <c r="F134" s="257"/>
      <c r="G134" s="257"/>
      <c r="H134" s="257"/>
      <c r="I134" s="257"/>
      <c r="J134" s="257"/>
      <c r="K134" s="257"/>
    </row>
    <row r="135" spans="1:11" x14ac:dyDescent="0.25">
      <c r="A135" s="268"/>
      <c r="B135" s="268"/>
      <c r="C135" s="268"/>
      <c r="D135" s="257"/>
      <c r="E135" s="257"/>
      <c r="F135" s="257"/>
      <c r="G135" s="257"/>
      <c r="H135" s="257"/>
      <c r="I135" s="257"/>
      <c r="J135" s="257"/>
      <c r="K135" s="257"/>
    </row>
    <row r="136" spans="1:11" x14ac:dyDescent="0.25">
      <c r="A136" s="268"/>
      <c r="B136" s="268"/>
      <c r="C136" s="268"/>
      <c r="D136" s="257"/>
      <c r="E136" s="257"/>
      <c r="F136" s="257"/>
      <c r="G136" s="257"/>
      <c r="H136" s="257"/>
      <c r="I136" s="257"/>
      <c r="J136" s="257"/>
      <c r="K136" s="257"/>
    </row>
    <row r="137" spans="1:11" x14ac:dyDescent="0.25">
      <c r="A137" s="268"/>
      <c r="B137" s="268"/>
      <c r="C137" s="268"/>
      <c r="D137" s="257"/>
      <c r="E137" s="257"/>
      <c r="F137" s="257"/>
      <c r="G137" s="257"/>
      <c r="H137" s="257"/>
      <c r="I137" s="257"/>
      <c r="J137" s="257"/>
      <c r="K137" s="257"/>
    </row>
    <row r="138" spans="1:11" x14ac:dyDescent="0.25">
      <c r="A138" s="268"/>
      <c r="B138" s="268"/>
      <c r="C138" s="268"/>
      <c r="D138" s="257"/>
      <c r="E138" s="257"/>
      <c r="F138" s="257"/>
      <c r="G138" s="257"/>
      <c r="H138" s="257"/>
      <c r="I138" s="257"/>
      <c r="J138" s="257"/>
      <c r="K138" s="257"/>
    </row>
    <row r="139" spans="1:11" x14ac:dyDescent="0.25">
      <c r="A139" s="268"/>
      <c r="B139" s="268"/>
      <c r="C139" s="268"/>
      <c r="D139" s="257"/>
      <c r="E139" s="257"/>
      <c r="F139" s="257"/>
      <c r="G139" s="257"/>
      <c r="H139" s="257"/>
      <c r="I139" s="257"/>
      <c r="J139" s="257"/>
      <c r="K139" s="257"/>
    </row>
    <row r="140" spans="1:11" x14ac:dyDescent="0.25">
      <c r="A140" s="268"/>
      <c r="B140" s="268"/>
      <c r="C140" s="268"/>
      <c r="D140" s="257"/>
      <c r="E140" s="257"/>
      <c r="F140" s="257"/>
      <c r="G140" s="257"/>
      <c r="H140" s="257"/>
      <c r="I140" s="257"/>
      <c r="J140" s="257"/>
      <c r="K140" s="257"/>
    </row>
    <row r="141" spans="1:11" x14ac:dyDescent="0.25">
      <c r="A141" s="268"/>
      <c r="B141" s="268"/>
      <c r="C141" s="268"/>
      <c r="D141" s="257"/>
      <c r="E141" s="257"/>
      <c r="F141" s="257"/>
      <c r="G141" s="257"/>
      <c r="H141" s="257"/>
      <c r="I141" s="257"/>
      <c r="J141" s="257"/>
      <c r="K141" s="257"/>
    </row>
    <row r="142" spans="1:11" x14ac:dyDescent="0.25">
      <c r="A142" s="268"/>
      <c r="B142" s="268"/>
      <c r="C142" s="268"/>
      <c r="D142" s="257"/>
      <c r="E142" s="257"/>
      <c r="F142" s="257"/>
      <c r="G142" s="257"/>
      <c r="H142" s="257"/>
      <c r="I142" s="257"/>
      <c r="J142" s="257"/>
      <c r="K142" s="257"/>
    </row>
    <row r="143" spans="1:11" x14ac:dyDescent="0.25">
      <c r="A143" s="268"/>
      <c r="B143" s="268"/>
      <c r="C143" s="268"/>
      <c r="D143" s="257"/>
      <c r="E143" s="257"/>
      <c r="F143" s="257"/>
      <c r="G143" s="257"/>
      <c r="H143" s="257"/>
      <c r="I143" s="257"/>
      <c r="J143" s="257"/>
      <c r="K143" s="257"/>
    </row>
    <row r="144" spans="1:11" x14ac:dyDescent="0.25">
      <c r="A144" s="268"/>
      <c r="B144" s="268"/>
      <c r="C144" s="268"/>
      <c r="D144" s="257"/>
      <c r="E144" s="257"/>
      <c r="F144" s="257"/>
      <c r="G144" s="257"/>
      <c r="H144" s="257"/>
      <c r="I144" s="257"/>
      <c r="J144" s="257"/>
      <c r="K144" s="257"/>
    </row>
    <row r="145" spans="1:11" x14ac:dyDescent="0.25">
      <c r="A145" s="268"/>
      <c r="B145" s="268"/>
      <c r="C145" s="268"/>
      <c r="D145" s="257"/>
      <c r="E145" s="257"/>
      <c r="F145" s="257"/>
      <c r="G145" s="257"/>
      <c r="H145" s="257"/>
      <c r="I145" s="257"/>
      <c r="J145" s="257"/>
      <c r="K145" s="257"/>
    </row>
    <row r="146" spans="1:11" x14ac:dyDescent="0.25">
      <c r="A146" s="268"/>
      <c r="B146" s="268"/>
      <c r="C146" s="268"/>
      <c r="D146" s="257"/>
      <c r="E146" s="257"/>
      <c r="F146" s="257"/>
      <c r="G146" s="257"/>
      <c r="H146" s="257"/>
      <c r="I146" s="257"/>
      <c r="J146" s="257"/>
      <c r="K146" s="257"/>
    </row>
    <row r="147" spans="1:11" x14ac:dyDescent="0.25">
      <c r="A147" s="268"/>
      <c r="B147" s="268"/>
      <c r="C147" s="268"/>
      <c r="D147" s="257"/>
      <c r="E147" s="257"/>
      <c r="F147" s="257"/>
      <c r="G147" s="257"/>
      <c r="H147" s="257"/>
      <c r="I147" s="257"/>
      <c r="J147" s="257"/>
      <c r="K147" s="257"/>
    </row>
    <row r="148" spans="1:11" x14ac:dyDescent="0.25">
      <c r="A148" s="268"/>
      <c r="B148" s="268"/>
      <c r="C148" s="268"/>
      <c r="D148" s="257"/>
      <c r="E148" s="257"/>
      <c r="F148" s="257"/>
      <c r="G148" s="257"/>
      <c r="H148" s="257"/>
      <c r="I148" s="257"/>
      <c r="J148" s="257"/>
      <c r="K148" s="257"/>
    </row>
    <row r="149" spans="1:11" x14ac:dyDescent="0.25">
      <c r="A149" s="268"/>
      <c r="B149" s="268"/>
      <c r="C149" s="268"/>
      <c r="D149" s="257"/>
      <c r="E149" s="257"/>
      <c r="F149" s="257"/>
      <c r="G149" s="257"/>
      <c r="H149" s="257"/>
      <c r="I149" s="257"/>
      <c r="J149" s="257"/>
      <c r="K149" s="257"/>
    </row>
    <row r="150" spans="1:11" x14ac:dyDescent="0.25">
      <c r="A150" s="268"/>
      <c r="B150" s="268"/>
      <c r="C150" s="268"/>
      <c r="D150" s="257"/>
      <c r="E150" s="257"/>
      <c r="F150" s="257"/>
      <c r="G150" s="257"/>
      <c r="H150" s="257"/>
      <c r="I150" s="257"/>
      <c r="J150" s="257"/>
      <c r="K150" s="257"/>
    </row>
    <row r="151" spans="1:11" x14ac:dyDescent="0.25">
      <c r="A151" s="268"/>
      <c r="B151" s="268"/>
      <c r="C151" s="268"/>
      <c r="D151" s="257"/>
      <c r="E151" s="257"/>
      <c r="F151" s="257"/>
      <c r="G151" s="257"/>
      <c r="H151" s="257"/>
      <c r="I151" s="257"/>
      <c r="J151" s="257"/>
      <c r="K151" s="257"/>
    </row>
    <row r="152" spans="1:11" x14ac:dyDescent="0.25">
      <c r="A152" s="268"/>
      <c r="B152" s="268"/>
      <c r="C152" s="268"/>
      <c r="D152" s="257"/>
      <c r="E152" s="257"/>
      <c r="F152" s="257"/>
      <c r="G152" s="257"/>
      <c r="H152" s="257"/>
      <c r="I152" s="257"/>
      <c r="J152" s="257"/>
      <c r="K152" s="257"/>
    </row>
    <row r="153" spans="1:11" x14ac:dyDescent="0.25">
      <c r="A153" s="268"/>
      <c r="B153" s="268"/>
      <c r="C153" s="268"/>
      <c r="D153" s="257"/>
      <c r="E153" s="257"/>
      <c r="F153" s="257"/>
      <c r="G153" s="257"/>
      <c r="H153" s="257"/>
      <c r="I153" s="257"/>
      <c r="J153" s="257"/>
      <c r="K153" s="257"/>
    </row>
    <row r="154" spans="1:11" x14ac:dyDescent="0.25">
      <c r="A154" s="268"/>
      <c r="B154" s="268"/>
      <c r="C154" s="268"/>
      <c r="D154" s="257"/>
      <c r="E154" s="257"/>
      <c r="F154" s="257"/>
      <c r="G154" s="257"/>
      <c r="H154" s="257"/>
      <c r="I154" s="257"/>
      <c r="J154" s="257"/>
      <c r="K154" s="257"/>
    </row>
    <row r="155" spans="1:11" x14ac:dyDescent="0.25">
      <c r="A155" s="268"/>
      <c r="B155" s="268"/>
      <c r="C155" s="268"/>
      <c r="D155" s="257"/>
      <c r="E155" s="257"/>
      <c r="F155" s="257"/>
      <c r="G155" s="257"/>
      <c r="H155" s="257"/>
      <c r="I155" s="257"/>
      <c r="J155" s="257"/>
      <c r="K155" s="257"/>
    </row>
    <row r="156" spans="1:11" x14ac:dyDescent="0.25">
      <c r="A156" s="268"/>
      <c r="B156" s="268"/>
      <c r="C156" s="268"/>
      <c r="D156" s="257"/>
      <c r="E156" s="257"/>
      <c r="F156" s="257"/>
      <c r="G156" s="257"/>
      <c r="H156" s="257"/>
      <c r="I156" s="257"/>
      <c r="J156" s="257"/>
      <c r="K156" s="257"/>
    </row>
    <row r="157" spans="1:11" x14ac:dyDescent="0.25">
      <c r="A157" s="268"/>
      <c r="B157" s="268"/>
      <c r="C157" s="268"/>
      <c r="D157" s="257"/>
      <c r="E157" s="257"/>
      <c r="F157" s="257"/>
      <c r="G157" s="257"/>
      <c r="H157" s="257"/>
      <c r="I157" s="257"/>
      <c r="J157" s="257"/>
      <c r="K157" s="257"/>
    </row>
    <row r="158" spans="1:11" x14ac:dyDescent="0.25">
      <c r="A158" s="268"/>
      <c r="B158" s="268"/>
      <c r="C158" s="268"/>
      <c r="D158" s="257"/>
      <c r="E158" s="257"/>
      <c r="F158" s="257"/>
      <c r="G158" s="257"/>
      <c r="H158" s="257"/>
      <c r="I158" s="257"/>
      <c r="J158" s="257"/>
      <c r="K158" s="257"/>
    </row>
    <row r="159" spans="1:11" x14ac:dyDescent="0.25">
      <c r="A159" s="268"/>
      <c r="B159" s="268"/>
      <c r="C159" s="268"/>
      <c r="D159" s="257"/>
      <c r="E159" s="257"/>
      <c r="F159" s="257"/>
      <c r="G159" s="257"/>
      <c r="H159" s="257"/>
      <c r="I159" s="257"/>
      <c r="J159" s="257"/>
      <c r="K159" s="257"/>
    </row>
    <row r="160" spans="1:11" x14ac:dyDescent="0.25">
      <c r="A160" s="268"/>
      <c r="B160" s="268"/>
      <c r="C160" s="268"/>
      <c r="D160" s="257"/>
      <c r="E160" s="257"/>
      <c r="F160" s="257"/>
      <c r="G160" s="257"/>
      <c r="H160" s="257"/>
      <c r="I160" s="257"/>
      <c r="J160" s="257"/>
      <c r="K160" s="257"/>
    </row>
    <row r="161" spans="1:11" x14ac:dyDescent="0.25">
      <c r="A161" s="268"/>
      <c r="B161" s="268"/>
      <c r="C161" s="268"/>
      <c r="D161" s="257"/>
      <c r="E161" s="257"/>
      <c r="F161" s="257"/>
      <c r="G161" s="257"/>
      <c r="H161" s="257"/>
      <c r="I161" s="257"/>
      <c r="J161" s="257"/>
      <c r="K161" s="257"/>
    </row>
    <row r="162" spans="1:11" x14ac:dyDescent="0.25">
      <c r="A162" s="268"/>
      <c r="B162" s="268"/>
      <c r="C162" s="268"/>
      <c r="D162" s="257"/>
      <c r="E162" s="257"/>
      <c r="F162" s="257"/>
      <c r="G162" s="257"/>
      <c r="H162" s="257"/>
      <c r="I162" s="257"/>
      <c r="J162" s="257"/>
      <c r="K162" s="257"/>
    </row>
    <row r="163" spans="1:11" x14ac:dyDescent="0.25">
      <c r="A163" s="268"/>
      <c r="B163" s="268"/>
      <c r="C163" s="268"/>
      <c r="D163" s="257"/>
      <c r="E163" s="257"/>
      <c r="F163" s="257"/>
      <c r="G163" s="257"/>
      <c r="H163" s="257"/>
      <c r="I163" s="257"/>
      <c r="J163" s="257"/>
      <c r="K163" s="257"/>
    </row>
    <row r="164" spans="1:11" x14ac:dyDescent="0.25">
      <c r="A164" s="268"/>
      <c r="B164" s="268"/>
      <c r="C164" s="268"/>
      <c r="D164" s="257"/>
      <c r="E164" s="257"/>
      <c r="F164" s="257"/>
      <c r="G164" s="257"/>
      <c r="H164" s="257"/>
      <c r="I164" s="257"/>
      <c r="J164" s="257"/>
      <c r="K164" s="257"/>
    </row>
    <row r="165" spans="1:11" x14ac:dyDescent="0.25">
      <c r="A165" s="268"/>
      <c r="B165" s="268"/>
      <c r="C165" s="268"/>
      <c r="D165" s="257"/>
      <c r="E165" s="257"/>
      <c r="F165" s="257"/>
      <c r="G165" s="257"/>
      <c r="H165" s="257"/>
      <c r="I165" s="257"/>
      <c r="J165" s="257"/>
      <c r="K165" s="257"/>
    </row>
    <row r="166" spans="1:11" x14ac:dyDescent="0.25">
      <c r="A166" s="268"/>
      <c r="B166" s="268"/>
      <c r="C166" s="268"/>
      <c r="D166" s="257"/>
      <c r="E166" s="257"/>
      <c r="F166" s="257"/>
      <c r="G166" s="257"/>
      <c r="H166" s="257"/>
      <c r="I166" s="257"/>
      <c r="J166" s="257"/>
      <c r="K166" s="257"/>
    </row>
    <row r="167" spans="1:11" x14ac:dyDescent="0.25">
      <c r="A167" s="268"/>
      <c r="B167" s="268"/>
      <c r="C167" s="268"/>
      <c r="D167" s="257"/>
      <c r="E167" s="257"/>
      <c r="F167" s="257"/>
      <c r="G167" s="257"/>
      <c r="H167" s="257"/>
      <c r="I167" s="257"/>
      <c r="J167" s="257"/>
      <c r="K167" s="257"/>
    </row>
    <row r="168" spans="1:11" x14ac:dyDescent="0.25">
      <c r="A168" s="268"/>
      <c r="B168" s="268"/>
      <c r="C168" s="268"/>
      <c r="D168" s="257"/>
      <c r="E168" s="257"/>
      <c r="F168" s="257"/>
      <c r="G168" s="257"/>
      <c r="H168" s="257"/>
      <c r="I168" s="257"/>
      <c r="J168" s="257"/>
      <c r="K168" s="257"/>
    </row>
    <row r="169" spans="1:11" x14ac:dyDescent="0.25">
      <c r="A169" s="268"/>
      <c r="B169" s="268"/>
      <c r="C169" s="268"/>
      <c r="D169" s="257"/>
      <c r="E169" s="257"/>
      <c r="F169" s="257"/>
      <c r="G169" s="257"/>
      <c r="H169" s="257"/>
      <c r="I169" s="257"/>
      <c r="J169" s="257"/>
      <c r="K169" s="257"/>
    </row>
    <row r="170" spans="1:11" x14ac:dyDescent="0.25">
      <c r="A170" s="268"/>
      <c r="B170" s="268"/>
      <c r="C170" s="268"/>
      <c r="D170" s="257"/>
      <c r="E170" s="257"/>
      <c r="F170" s="257"/>
      <c r="G170" s="257"/>
      <c r="H170" s="257"/>
      <c r="I170" s="257"/>
      <c r="J170" s="257"/>
      <c r="K170" s="257"/>
    </row>
    <row r="171" spans="1:11" x14ac:dyDescent="0.25">
      <c r="A171" s="268"/>
      <c r="B171" s="268"/>
      <c r="C171" s="268"/>
      <c r="D171" s="257"/>
      <c r="E171" s="257"/>
      <c r="F171" s="257"/>
      <c r="G171" s="257"/>
      <c r="H171" s="257"/>
      <c r="I171" s="257"/>
      <c r="J171" s="257"/>
      <c r="K171" s="257"/>
    </row>
    <row r="172" spans="1:11" x14ac:dyDescent="0.25">
      <c r="A172" s="268"/>
      <c r="B172" s="268"/>
      <c r="C172" s="268"/>
      <c r="D172" s="257"/>
      <c r="E172" s="257"/>
      <c r="F172" s="257"/>
      <c r="G172" s="257"/>
      <c r="H172" s="257"/>
      <c r="I172" s="257"/>
      <c r="J172" s="257"/>
      <c r="K172" s="257"/>
    </row>
    <row r="173" spans="1:11" x14ac:dyDescent="0.25">
      <c r="A173" s="268"/>
      <c r="B173" s="268"/>
      <c r="C173" s="268"/>
      <c r="D173" s="257"/>
      <c r="E173" s="257"/>
      <c r="F173" s="257"/>
      <c r="G173" s="257"/>
      <c r="H173" s="257"/>
      <c r="I173" s="257"/>
      <c r="J173" s="257"/>
      <c r="K173" s="257"/>
    </row>
    <row r="174" spans="1:11" x14ac:dyDescent="0.25">
      <c r="A174" s="268"/>
      <c r="B174" s="268"/>
      <c r="C174" s="268"/>
      <c r="D174" s="257"/>
      <c r="E174" s="257"/>
      <c r="F174" s="257"/>
      <c r="G174" s="257"/>
      <c r="H174" s="257"/>
      <c r="I174" s="257"/>
      <c r="J174" s="257"/>
      <c r="K174" s="257"/>
    </row>
    <row r="175" spans="1:11" x14ac:dyDescent="0.25">
      <c r="A175" s="268"/>
      <c r="B175" s="268"/>
      <c r="C175" s="268"/>
      <c r="D175" s="257"/>
      <c r="E175" s="257"/>
      <c r="F175" s="257"/>
      <c r="G175" s="257"/>
      <c r="H175" s="257"/>
      <c r="I175" s="257"/>
      <c r="J175" s="257"/>
      <c r="K175" s="257"/>
    </row>
    <row r="176" spans="1:11" x14ac:dyDescent="0.25">
      <c r="A176" s="268"/>
      <c r="B176" s="268"/>
      <c r="C176" s="268"/>
      <c r="D176" s="257"/>
      <c r="E176" s="257"/>
      <c r="F176" s="257"/>
      <c r="G176" s="257"/>
      <c r="H176" s="257"/>
      <c r="I176" s="257"/>
      <c r="J176" s="257"/>
      <c r="K176" s="257"/>
    </row>
    <row r="177" spans="1:11" x14ac:dyDescent="0.25">
      <c r="A177" s="268"/>
      <c r="B177" s="268"/>
      <c r="C177" s="268"/>
      <c r="D177" s="257"/>
      <c r="E177" s="257"/>
      <c r="F177" s="257"/>
      <c r="G177" s="257"/>
      <c r="H177" s="257"/>
      <c r="I177" s="257"/>
      <c r="J177" s="257"/>
      <c r="K177" s="257"/>
    </row>
    <row r="178" spans="1:11" x14ac:dyDescent="0.25">
      <c r="A178" s="268"/>
      <c r="B178" s="268"/>
      <c r="C178" s="268"/>
      <c r="D178" s="257"/>
      <c r="E178" s="257"/>
      <c r="F178" s="257"/>
      <c r="G178" s="257"/>
      <c r="H178" s="257"/>
      <c r="I178" s="257"/>
      <c r="J178" s="257"/>
      <c r="K178" s="257"/>
    </row>
    <row r="179" spans="1:11" x14ac:dyDescent="0.25">
      <c r="A179" s="268"/>
      <c r="B179" s="268"/>
      <c r="C179" s="268"/>
      <c r="D179" s="257"/>
      <c r="E179" s="257"/>
      <c r="F179" s="257"/>
      <c r="G179" s="257"/>
      <c r="H179" s="257"/>
      <c r="I179" s="257"/>
      <c r="J179" s="257"/>
      <c r="K179" s="257"/>
    </row>
    <row r="180" spans="1:11" x14ac:dyDescent="0.25">
      <c r="A180" s="268"/>
      <c r="B180" s="268"/>
      <c r="C180" s="268"/>
      <c r="D180" s="257"/>
      <c r="E180" s="257"/>
      <c r="F180" s="257"/>
      <c r="G180" s="257"/>
      <c r="H180" s="257"/>
      <c r="I180" s="257"/>
      <c r="J180" s="257"/>
      <c r="K180" s="257"/>
    </row>
    <row r="181" spans="1:11" x14ac:dyDescent="0.25">
      <c r="A181" s="268"/>
      <c r="B181" s="268"/>
      <c r="C181" s="268"/>
      <c r="D181" s="257"/>
      <c r="E181" s="257"/>
      <c r="F181" s="257"/>
      <c r="G181" s="257"/>
      <c r="H181" s="257"/>
      <c r="I181" s="257"/>
      <c r="J181" s="257"/>
      <c r="K181" s="257"/>
    </row>
    <row r="182" spans="1:11" x14ac:dyDescent="0.25">
      <c r="A182" s="268"/>
      <c r="B182" s="268"/>
      <c r="C182" s="268"/>
      <c r="D182" s="257"/>
      <c r="E182" s="257"/>
      <c r="F182" s="257"/>
      <c r="G182" s="257"/>
      <c r="H182" s="257"/>
      <c r="I182" s="257"/>
      <c r="J182" s="257"/>
      <c r="K182" s="257"/>
    </row>
    <row r="183" spans="1:11" x14ac:dyDescent="0.25">
      <c r="A183" s="268"/>
      <c r="B183" s="268"/>
      <c r="C183" s="268"/>
      <c r="D183" s="257"/>
      <c r="E183" s="257"/>
      <c r="F183" s="257"/>
      <c r="G183" s="257"/>
      <c r="H183" s="257"/>
      <c r="I183" s="257"/>
      <c r="J183" s="257"/>
      <c r="K183" s="257"/>
    </row>
    <row r="184" spans="1:11" x14ac:dyDescent="0.25">
      <c r="A184" s="268"/>
      <c r="B184" s="268"/>
      <c r="C184" s="268"/>
      <c r="D184" s="257"/>
      <c r="E184" s="257"/>
      <c r="F184" s="257"/>
      <c r="G184" s="257"/>
      <c r="H184" s="257"/>
      <c r="I184" s="257"/>
      <c r="J184" s="257"/>
      <c r="K184" s="257"/>
    </row>
    <row r="185" spans="1:11" x14ac:dyDescent="0.25">
      <c r="A185" s="268"/>
      <c r="B185" s="268"/>
      <c r="C185" s="268"/>
      <c r="D185" s="257"/>
      <c r="E185" s="257"/>
      <c r="F185" s="257"/>
      <c r="G185" s="257"/>
      <c r="H185" s="257"/>
      <c r="I185" s="257"/>
      <c r="J185" s="257"/>
      <c r="K185" s="257"/>
    </row>
    <row r="186" spans="1:11" x14ac:dyDescent="0.25">
      <c r="A186" s="268"/>
      <c r="B186" s="268"/>
      <c r="C186" s="268"/>
      <c r="D186" s="257"/>
      <c r="E186" s="257"/>
      <c r="F186" s="257"/>
      <c r="G186" s="257"/>
      <c r="H186" s="257"/>
      <c r="I186" s="257"/>
      <c r="J186" s="257"/>
      <c r="K186" s="257"/>
    </row>
    <row r="187" spans="1:11" x14ac:dyDescent="0.25">
      <c r="A187" s="268"/>
      <c r="B187" s="268"/>
      <c r="C187" s="268"/>
      <c r="D187" s="257"/>
      <c r="E187" s="257"/>
      <c r="F187" s="257"/>
      <c r="G187" s="257"/>
      <c r="H187" s="257"/>
      <c r="I187" s="257"/>
      <c r="J187" s="257"/>
      <c r="K187" s="257"/>
    </row>
    <row r="188" spans="1:11" x14ac:dyDescent="0.25">
      <c r="A188" s="268"/>
      <c r="B188" s="268"/>
      <c r="C188" s="268"/>
      <c r="D188" s="257"/>
      <c r="E188" s="257"/>
      <c r="F188" s="257"/>
      <c r="G188" s="257"/>
      <c r="H188" s="257"/>
      <c r="I188" s="257"/>
      <c r="J188" s="257"/>
      <c r="K188" s="257"/>
    </row>
    <row r="189" spans="1:11" x14ac:dyDescent="0.25">
      <c r="A189" s="268"/>
      <c r="B189" s="268"/>
      <c r="C189" s="268"/>
      <c r="D189" s="257"/>
      <c r="E189" s="257"/>
      <c r="F189" s="257"/>
      <c r="G189" s="257"/>
      <c r="H189" s="257"/>
      <c r="I189" s="257"/>
      <c r="J189" s="257"/>
      <c r="K189" s="257"/>
    </row>
    <row r="190" spans="1:11" x14ac:dyDescent="0.25">
      <c r="A190" s="268"/>
      <c r="B190" s="268"/>
      <c r="C190" s="268"/>
      <c r="D190" s="257"/>
      <c r="E190" s="257"/>
      <c r="F190" s="257"/>
      <c r="G190" s="257"/>
      <c r="H190" s="257"/>
      <c r="I190" s="257"/>
      <c r="J190" s="257"/>
      <c r="K190" s="257"/>
    </row>
    <row r="191" spans="1:11" x14ac:dyDescent="0.25">
      <c r="A191" s="268"/>
      <c r="B191" s="268"/>
      <c r="C191" s="268"/>
      <c r="D191" s="257"/>
      <c r="E191" s="257"/>
      <c r="F191" s="257"/>
      <c r="G191" s="257"/>
      <c r="H191" s="257"/>
      <c r="I191" s="257"/>
      <c r="J191" s="257"/>
      <c r="K191" s="257"/>
    </row>
    <row r="192" spans="1:11" x14ac:dyDescent="0.25">
      <c r="A192" s="268"/>
      <c r="B192" s="268"/>
      <c r="C192" s="268"/>
      <c r="D192" s="257"/>
      <c r="E192" s="257"/>
      <c r="F192" s="257"/>
      <c r="G192" s="257"/>
      <c r="H192" s="257"/>
      <c r="I192" s="257"/>
      <c r="J192" s="257"/>
      <c r="K192" s="257"/>
    </row>
    <row r="193" spans="1:11" x14ac:dyDescent="0.25">
      <c r="A193" s="268"/>
      <c r="B193" s="268"/>
      <c r="C193" s="268"/>
      <c r="D193" s="257"/>
      <c r="E193" s="257"/>
      <c r="F193" s="257"/>
      <c r="G193" s="257"/>
      <c r="H193" s="257"/>
      <c r="I193" s="257"/>
      <c r="J193" s="257"/>
      <c r="K193" s="257"/>
    </row>
    <row r="194" spans="1:11" x14ac:dyDescent="0.25">
      <c r="A194" s="268"/>
      <c r="B194" s="268"/>
      <c r="C194" s="268"/>
      <c r="D194" s="257"/>
      <c r="E194" s="257"/>
      <c r="F194" s="257"/>
      <c r="G194" s="257"/>
      <c r="H194" s="257"/>
      <c r="I194" s="257"/>
      <c r="J194" s="257"/>
      <c r="K194" s="257"/>
    </row>
    <row r="195" spans="1:11" x14ac:dyDescent="0.25">
      <c r="A195" s="268"/>
      <c r="B195" s="268"/>
      <c r="C195" s="268"/>
      <c r="D195" s="257"/>
      <c r="E195" s="257"/>
      <c r="F195" s="257"/>
      <c r="G195" s="257"/>
      <c r="H195" s="257"/>
      <c r="I195" s="257"/>
      <c r="J195" s="257"/>
      <c r="K195" s="257"/>
    </row>
    <row r="196" spans="1:11" x14ac:dyDescent="0.25">
      <c r="A196" s="268"/>
      <c r="B196" s="268"/>
      <c r="C196" s="268"/>
      <c r="D196" s="257"/>
      <c r="E196" s="257"/>
      <c r="F196" s="257"/>
      <c r="G196" s="257"/>
      <c r="H196" s="257"/>
      <c r="I196" s="257"/>
      <c r="J196" s="257"/>
      <c r="K196" s="257"/>
    </row>
    <row r="197" spans="1:11" x14ac:dyDescent="0.25">
      <c r="A197" s="268"/>
      <c r="B197" s="268"/>
      <c r="C197" s="268"/>
      <c r="D197" s="257"/>
      <c r="E197" s="257"/>
      <c r="F197" s="257"/>
      <c r="G197" s="257"/>
      <c r="H197" s="257"/>
      <c r="I197" s="257"/>
      <c r="J197" s="257"/>
      <c r="K197" s="257"/>
    </row>
    <row r="198" spans="1:11" x14ac:dyDescent="0.25">
      <c r="A198" s="268"/>
      <c r="B198" s="268"/>
      <c r="C198" s="268"/>
      <c r="D198" s="257"/>
      <c r="E198" s="257"/>
      <c r="F198" s="257"/>
      <c r="G198" s="257"/>
      <c r="H198" s="257"/>
      <c r="I198" s="257"/>
      <c r="J198" s="257"/>
      <c r="K198" s="257"/>
    </row>
    <row r="199" spans="1:11" x14ac:dyDescent="0.25">
      <c r="A199" s="268"/>
      <c r="B199" s="268"/>
      <c r="C199" s="268"/>
      <c r="D199" s="257"/>
      <c r="E199" s="257"/>
      <c r="F199" s="257"/>
      <c r="G199" s="257"/>
      <c r="H199" s="257"/>
      <c r="I199" s="257"/>
      <c r="J199" s="257"/>
      <c r="K199" s="257"/>
    </row>
    <row r="200" spans="1:11" x14ac:dyDescent="0.25">
      <c r="A200" s="268"/>
      <c r="B200" s="268"/>
      <c r="C200" s="268"/>
      <c r="D200" s="257"/>
      <c r="E200" s="257"/>
      <c r="F200" s="257"/>
      <c r="G200" s="257"/>
      <c r="H200" s="257"/>
      <c r="I200" s="257"/>
      <c r="J200" s="257"/>
      <c r="K200" s="257"/>
    </row>
    <row r="201" spans="1:11" x14ac:dyDescent="0.25">
      <c r="A201" s="268"/>
      <c r="B201" s="268"/>
      <c r="C201" s="268"/>
      <c r="D201" s="257"/>
      <c r="E201" s="257"/>
      <c r="F201" s="257"/>
      <c r="G201" s="257"/>
      <c r="H201" s="257"/>
      <c r="I201" s="257"/>
      <c r="J201" s="257"/>
      <c r="K201" s="257"/>
    </row>
    <row r="202" spans="1:11" x14ac:dyDescent="0.25">
      <c r="A202" s="268"/>
      <c r="B202" s="268"/>
      <c r="C202" s="268"/>
      <c r="D202" s="257"/>
      <c r="E202" s="257"/>
      <c r="F202" s="257"/>
      <c r="G202" s="257"/>
      <c r="H202" s="257"/>
      <c r="I202" s="257"/>
      <c r="J202" s="257"/>
      <c r="K202" s="257"/>
    </row>
    <row r="203" spans="1:11" x14ac:dyDescent="0.25">
      <c r="A203" s="268"/>
      <c r="B203" s="268"/>
      <c r="C203" s="268"/>
      <c r="D203" s="257"/>
      <c r="E203" s="257"/>
      <c r="F203" s="257"/>
      <c r="G203" s="257"/>
      <c r="H203" s="257"/>
      <c r="I203" s="257"/>
      <c r="J203" s="257"/>
      <c r="K203" s="257"/>
    </row>
    <row r="204" spans="1:11" x14ac:dyDescent="0.25">
      <c r="A204" s="268"/>
      <c r="B204" s="268"/>
      <c r="C204" s="268"/>
      <c r="D204" s="257"/>
      <c r="E204" s="257"/>
      <c r="F204" s="257"/>
      <c r="G204" s="257"/>
      <c r="H204" s="257"/>
      <c r="I204" s="257"/>
      <c r="J204" s="257"/>
      <c r="K204" s="257"/>
    </row>
    <row r="205" spans="1:11" x14ac:dyDescent="0.25">
      <c r="A205" s="268"/>
      <c r="B205" s="268"/>
      <c r="C205" s="268"/>
      <c r="D205" s="257"/>
      <c r="E205" s="257"/>
      <c r="F205" s="257"/>
      <c r="G205" s="257"/>
      <c r="H205" s="257"/>
      <c r="I205" s="257"/>
      <c r="J205" s="257"/>
      <c r="K205" s="257"/>
    </row>
    <row r="206" spans="1:11" x14ac:dyDescent="0.25">
      <c r="A206" s="268"/>
      <c r="B206" s="268"/>
      <c r="C206" s="268"/>
      <c r="D206" s="257"/>
      <c r="E206" s="257"/>
      <c r="F206" s="257"/>
      <c r="G206" s="257"/>
      <c r="H206" s="257"/>
      <c r="I206" s="257"/>
      <c r="J206" s="257"/>
      <c r="K206" s="257"/>
    </row>
    <row r="207" spans="1:11" x14ac:dyDescent="0.25">
      <c r="A207" s="268"/>
      <c r="B207" s="268"/>
      <c r="C207" s="268"/>
      <c r="D207" s="257"/>
      <c r="E207" s="257"/>
      <c r="F207" s="257"/>
      <c r="G207" s="257"/>
      <c r="H207" s="257"/>
      <c r="I207" s="257"/>
      <c r="J207" s="257"/>
      <c r="K207" s="257"/>
    </row>
    <row r="208" spans="1:11" x14ac:dyDescent="0.25">
      <c r="A208" s="268"/>
      <c r="B208" s="268"/>
      <c r="C208" s="268"/>
      <c r="D208" s="257"/>
      <c r="E208" s="257"/>
      <c r="F208" s="257"/>
      <c r="G208" s="257"/>
      <c r="H208" s="257"/>
      <c r="I208" s="257"/>
      <c r="J208" s="257"/>
      <c r="K208" s="257"/>
    </row>
    <row r="209" spans="1:11" x14ac:dyDescent="0.25">
      <c r="A209" s="268"/>
      <c r="B209" s="268"/>
      <c r="C209" s="268"/>
      <c r="D209" s="257"/>
      <c r="E209" s="257"/>
      <c r="F209" s="257"/>
      <c r="G209" s="257"/>
      <c r="H209" s="257"/>
      <c r="I209" s="257"/>
      <c r="J209" s="257"/>
      <c r="K209" s="257"/>
    </row>
    <row r="210" spans="1:11" x14ac:dyDescent="0.25">
      <c r="A210" s="268"/>
      <c r="B210" s="268"/>
      <c r="C210" s="268"/>
      <c r="D210" s="257"/>
      <c r="E210" s="257"/>
      <c r="F210" s="257"/>
      <c r="G210" s="257"/>
      <c r="H210" s="257"/>
      <c r="I210" s="257"/>
      <c r="J210" s="257"/>
      <c r="K210" s="257"/>
    </row>
    <row r="211" spans="1:11" x14ac:dyDescent="0.25">
      <c r="A211" s="268"/>
      <c r="B211" s="268"/>
      <c r="C211" s="268"/>
      <c r="D211" s="257"/>
      <c r="E211" s="257"/>
      <c r="F211" s="257"/>
      <c r="G211" s="257"/>
      <c r="H211" s="257"/>
      <c r="I211" s="257"/>
      <c r="J211" s="257"/>
      <c r="K211" s="257"/>
    </row>
    <row r="212" spans="1:11" x14ac:dyDescent="0.25">
      <c r="A212" s="268"/>
      <c r="B212" s="268"/>
      <c r="C212" s="268"/>
      <c r="D212" s="257"/>
      <c r="E212" s="257"/>
      <c r="F212" s="257"/>
      <c r="G212" s="257"/>
      <c r="H212" s="257"/>
      <c r="I212" s="257"/>
      <c r="J212" s="257"/>
      <c r="K212" s="257"/>
    </row>
    <row r="213" spans="1:11" x14ac:dyDescent="0.25">
      <c r="A213" s="268"/>
      <c r="B213" s="268"/>
      <c r="C213" s="268"/>
      <c r="D213" s="257"/>
      <c r="E213" s="257"/>
      <c r="F213" s="257"/>
      <c r="G213" s="257"/>
      <c r="H213" s="257"/>
      <c r="I213" s="257"/>
      <c r="J213" s="257"/>
      <c r="K213" s="257"/>
    </row>
    <row r="214" spans="1:11" x14ac:dyDescent="0.25">
      <c r="A214" s="268"/>
      <c r="B214" s="268"/>
      <c r="C214" s="268"/>
      <c r="D214" s="257"/>
      <c r="E214" s="257"/>
      <c r="F214" s="257"/>
      <c r="G214" s="257"/>
      <c r="H214" s="257"/>
      <c r="I214" s="257"/>
      <c r="J214" s="257"/>
      <c r="K214" s="257"/>
    </row>
    <row r="215" spans="1:11" x14ac:dyDescent="0.25">
      <c r="A215" s="268"/>
      <c r="B215" s="268"/>
      <c r="C215" s="268"/>
      <c r="D215" s="257"/>
      <c r="E215" s="257"/>
      <c r="F215" s="257"/>
      <c r="G215" s="257"/>
      <c r="H215" s="257"/>
      <c r="I215" s="257"/>
      <c r="J215" s="257"/>
      <c r="K215" s="257"/>
    </row>
    <row r="216" spans="1:11" x14ac:dyDescent="0.25">
      <c r="A216" s="268"/>
      <c r="B216" s="268"/>
      <c r="C216" s="268"/>
      <c r="D216" s="257"/>
      <c r="E216" s="257"/>
      <c r="F216" s="257"/>
      <c r="G216" s="257"/>
      <c r="H216" s="257"/>
      <c r="I216" s="257"/>
      <c r="J216" s="257"/>
      <c r="K216" s="257"/>
    </row>
    <row r="217" spans="1:11" x14ac:dyDescent="0.25">
      <c r="A217" s="268"/>
      <c r="B217" s="268"/>
      <c r="C217" s="268"/>
      <c r="D217" s="257"/>
      <c r="E217" s="257"/>
      <c r="F217" s="257"/>
      <c r="G217" s="257"/>
      <c r="H217" s="257"/>
      <c r="I217" s="257"/>
      <c r="J217" s="257"/>
      <c r="K217" s="257"/>
    </row>
    <row r="218" spans="1:11" x14ac:dyDescent="0.25">
      <c r="A218" s="268"/>
      <c r="B218" s="268"/>
      <c r="C218" s="268"/>
      <c r="D218" s="257"/>
      <c r="E218" s="257"/>
      <c r="F218" s="257"/>
      <c r="G218" s="257"/>
      <c r="H218" s="257"/>
      <c r="I218" s="257"/>
      <c r="J218" s="257"/>
      <c r="K218" s="257"/>
    </row>
    <row r="219" spans="1:11" x14ac:dyDescent="0.25">
      <c r="A219" s="268"/>
      <c r="B219" s="268"/>
      <c r="C219" s="268"/>
      <c r="D219" s="257"/>
      <c r="E219" s="257"/>
      <c r="F219" s="257"/>
      <c r="G219" s="257"/>
      <c r="H219" s="257"/>
      <c r="I219" s="257"/>
      <c r="J219" s="257"/>
      <c r="K219" s="257"/>
    </row>
    <row r="220" spans="1:11" x14ac:dyDescent="0.25">
      <c r="A220" s="268"/>
      <c r="B220" s="268"/>
      <c r="C220" s="268"/>
      <c r="D220" s="257"/>
      <c r="E220" s="257"/>
      <c r="F220" s="257"/>
      <c r="G220" s="257"/>
      <c r="H220" s="257"/>
      <c r="I220" s="257"/>
      <c r="J220" s="257"/>
      <c r="K220" s="257"/>
    </row>
    <row r="221" spans="1:11" x14ac:dyDescent="0.25">
      <c r="A221" s="268"/>
      <c r="B221" s="268"/>
      <c r="C221" s="268"/>
      <c r="D221" s="257"/>
      <c r="E221" s="257"/>
      <c r="F221" s="257"/>
      <c r="G221" s="257"/>
      <c r="H221" s="257"/>
      <c r="I221" s="257"/>
      <c r="J221" s="257"/>
      <c r="K221" s="257"/>
    </row>
    <row r="222" spans="1:11" x14ac:dyDescent="0.25">
      <c r="A222" s="268"/>
      <c r="B222" s="268"/>
      <c r="C222" s="268"/>
      <c r="D222" s="257"/>
      <c r="E222" s="257"/>
      <c r="F222" s="257"/>
      <c r="G222" s="257"/>
      <c r="H222" s="257"/>
      <c r="I222" s="257"/>
      <c r="J222" s="257"/>
      <c r="K222" s="257"/>
    </row>
    <row r="223" spans="1:11" x14ac:dyDescent="0.25">
      <c r="A223" s="268"/>
      <c r="B223" s="268"/>
      <c r="C223" s="268"/>
      <c r="D223" s="257"/>
      <c r="E223" s="257"/>
      <c r="F223" s="257"/>
      <c r="G223" s="257"/>
      <c r="H223" s="257"/>
      <c r="I223" s="257"/>
      <c r="J223" s="257"/>
      <c r="K223" s="257"/>
    </row>
    <row r="224" spans="1:11" x14ac:dyDescent="0.25">
      <c r="A224" s="268"/>
      <c r="B224" s="268"/>
      <c r="C224" s="268"/>
      <c r="D224" s="257"/>
      <c r="E224" s="257"/>
      <c r="F224" s="257"/>
      <c r="G224" s="257"/>
      <c r="H224" s="257"/>
      <c r="I224" s="257"/>
      <c r="J224" s="257"/>
      <c r="K224" s="257"/>
    </row>
    <row r="225" spans="1:11" x14ac:dyDescent="0.25">
      <c r="A225" s="268"/>
      <c r="B225" s="268"/>
      <c r="C225" s="268"/>
      <c r="D225" s="257"/>
      <c r="E225" s="257"/>
      <c r="F225" s="257"/>
      <c r="G225" s="257"/>
      <c r="H225" s="257"/>
      <c r="I225" s="257"/>
      <c r="J225" s="257"/>
      <c r="K225" s="257"/>
    </row>
    <row r="226" spans="1:11" x14ac:dyDescent="0.25">
      <c r="A226" s="268"/>
      <c r="B226" s="268"/>
      <c r="C226" s="268"/>
      <c r="D226" s="257"/>
      <c r="E226" s="257"/>
      <c r="F226" s="257"/>
      <c r="G226" s="257"/>
      <c r="H226" s="257"/>
      <c r="I226" s="257"/>
      <c r="J226" s="257"/>
      <c r="K226" s="257"/>
    </row>
    <row r="227" spans="1:11" x14ac:dyDescent="0.25">
      <c r="A227" s="268"/>
      <c r="B227" s="268"/>
      <c r="C227" s="268"/>
      <c r="D227" s="257"/>
      <c r="E227" s="257"/>
      <c r="F227" s="257"/>
      <c r="G227" s="257"/>
      <c r="H227" s="257"/>
      <c r="I227" s="257"/>
      <c r="J227" s="257"/>
      <c r="K227" s="257"/>
    </row>
    <row r="228" spans="1:11" x14ac:dyDescent="0.25">
      <c r="A228" s="268"/>
      <c r="B228" s="268"/>
      <c r="C228" s="268"/>
      <c r="D228" s="257"/>
      <c r="E228" s="257"/>
      <c r="F228" s="257"/>
      <c r="G228" s="257"/>
      <c r="H228" s="257"/>
      <c r="I228" s="257"/>
      <c r="J228" s="257"/>
      <c r="K228" s="257"/>
    </row>
    <row r="229" spans="1:11" x14ac:dyDescent="0.25">
      <c r="A229" s="268"/>
      <c r="B229" s="268"/>
      <c r="C229" s="268"/>
      <c r="D229" s="257"/>
      <c r="E229" s="257"/>
      <c r="F229" s="257"/>
      <c r="G229" s="257"/>
      <c r="H229" s="257"/>
      <c r="I229" s="257"/>
      <c r="J229" s="257"/>
      <c r="K229" s="257"/>
    </row>
    <row r="230" spans="1:11" x14ac:dyDescent="0.25">
      <c r="A230" s="268"/>
      <c r="B230" s="268"/>
      <c r="C230" s="268"/>
      <c r="D230" s="257"/>
      <c r="E230" s="257"/>
      <c r="F230" s="257"/>
      <c r="G230" s="257"/>
      <c r="H230" s="257"/>
      <c r="I230" s="257"/>
      <c r="J230" s="257"/>
      <c r="K230" s="257"/>
    </row>
    <row r="231" spans="1:11" x14ac:dyDescent="0.25">
      <c r="A231" s="268"/>
      <c r="B231" s="268"/>
      <c r="C231" s="268"/>
      <c r="D231" s="257"/>
      <c r="E231" s="257"/>
      <c r="F231" s="257"/>
      <c r="G231" s="257"/>
      <c r="H231" s="257"/>
      <c r="I231" s="257"/>
      <c r="J231" s="257"/>
      <c r="K231" s="257"/>
    </row>
    <row r="232" spans="1:11" x14ac:dyDescent="0.25">
      <c r="A232" s="268"/>
      <c r="B232" s="268"/>
      <c r="C232" s="268"/>
      <c r="D232" s="257"/>
      <c r="E232" s="257"/>
      <c r="F232" s="257"/>
      <c r="G232" s="257"/>
      <c r="H232" s="257"/>
      <c r="I232" s="257"/>
      <c r="J232" s="257"/>
      <c r="K232" s="257"/>
    </row>
    <row r="233" spans="1:11" x14ac:dyDescent="0.25">
      <c r="A233" s="268"/>
      <c r="B233" s="268"/>
      <c r="C233" s="268"/>
      <c r="D233" s="257"/>
      <c r="E233" s="257"/>
      <c r="F233" s="257"/>
      <c r="G233" s="257"/>
      <c r="H233" s="257"/>
      <c r="I233" s="257"/>
      <c r="J233" s="257"/>
      <c r="K233" s="257"/>
    </row>
    <row r="234" spans="1:11" x14ac:dyDescent="0.25">
      <c r="A234" s="268"/>
      <c r="B234" s="268"/>
      <c r="C234" s="268"/>
      <c r="D234" s="257"/>
      <c r="E234" s="257"/>
      <c r="F234" s="257"/>
      <c r="G234" s="257"/>
      <c r="H234" s="257"/>
      <c r="I234" s="257"/>
      <c r="J234" s="257"/>
      <c r="K234" s="257"/>
    </row>
    <row r="235" spans="1:11" x14ac:dyDescent="0.25">
      <c r="A235" s="268"/>
      <c r="B235" s="268"/>
      <c r="C235" s="268"/>
      <c r="D235" s="257"/>
      <c r="E235" s="257"/>
      <c r="F235" s="257"/>
      <c r="G235" s="257"/>
      <c r="H235" s="257"/>
      <c r="I235" s="257"/>
      <c r="J235" s="257"/>
      <c r="K235" s="257"/>
    </row>
    <row r="236" spans="1:11" x14ac:dyDescent="0.25">
      <c r="A236" s="268"/>
      <c r="B236" s="268"/>
      <c r="C236" s="268"/>
      <c r="D236" s="257"/>
      <c r="E236" s="257"/>
      <c r="F236" s="257"/>
      <c r="G236" s="257"/>
      <c r="H236" s="257"/>
      <c r="I236" s="257"/>
      <c r="J236" s="257"/>
      <c r="K236" s="257"/>
    </row>
    <row r="237" spans="1:11" x14ac:dyDescent="0.25">
      <c r="A237" s="268"/>
      <c r="B237" s="268"/>
      <c r="C237" s="268"/>
      <c r="D237" s="257"/>
      <c r="E237" s="257"/>
      <c r="F237" s="257"/>
      <c r="G237" s="257"/>
      <c r="H237" s="257"/>
      <c r="I237" s="257"/>
      <c r="J237" s="257"/>
      <c r="K237" s="257"/>
    </row>
    <row r="238" spans="1:11" x14ac:dyDescent="0.25">
      <c r="A238" s="268"/>
      <c r="B238" s="268"/>
      <c r="C238" s="268"/>
      <c r="D238" s="257"/>
      <c r="E238" s="257"/>
      <c r="F238" s="257"/>
      <c r="G238" s="257"/>
      <c r="H238" s="257"/>
      <c r="I238" s="257"/>
      <c r="J238" s="257"/>
      <c r="K238" s="257"/>
    </row>
    <row r="239" spans="1:11" x14ac:dyDescent="0.25">
      <c r="A239" s="268"/>
      <c r="B239" s="268"/>
      <c r="C239" s="268"/>
      <c r="D239" s="257"/>
      <c r="E239" s="257"/>
      <c r="F239" s="257"/>
      <c r="G239" s="257"/>
      <c r="H239" s="257"/>
      <c r="I239" s="257"/>
      <c r="J239" s="257"/>
      <c r="K239" s="257"/>
    </row>
    <row r="240" spans="1:11" x14ac:dyDescent="0.25">
      <c r="A240" s="268"/>
      <c r="B240" s="268"/>
      <c r="C240" s="268"/>
      <c r="D240" s="257"/>
      <c r="E240" s="257"/>
      <c r="F240" s="257"/>
      <c r="G240" s="257"/>
      <c r="H240" s="257"/>
      <c r="I240" s="257"/>
      <c r="J240" s="257"/>
      <c r="K240" s="257"/>
    </row>
    <row r="241" spans="1:11" x14ac:dyDescent="0.25">
      <c r="A241" s="268"/>
      <c r="B241" s="268"/>
      <c r="C241" s="268"/>
      <c r="D241" s="257"/>
      <c r="E241" s="257"/>
      <c r="F241" s="257"/>
      <c r="G241" s="257"/>
      <c r="H241" s="257"/>
      <c r="I241" s="257"/>
      <c r="J241" s="257"/>
      <c r="K241" s="257"/>
    </row>
    <row r="242" spans="1:11" x14ac:dyDescent="0.25">
      <c r="A242" s="268"/>
      <c r="B242" s="268"/>
      <c r="C242" s="268"/>
      <c r="D242" s="257"/>
      <c r="E242" s="257"/>
      <c r="F242" s="257"/>
      <c r="G242" s="257"/>
      <c r="H242" s="257"/>
      <c r="I242" s="257"/>
      <c r="J242" s="257"/>
      <c r="K242" s="257"/>
    </row>
    <row r="243" spans="1:11" x14ac:dyDescent="0.25">
      <c r="A243" s="268"/>
      <c r="B243" s="268"/>
      <c r="C243" s="268"/>
      <c r="D243" s="257"/>
      <c r="E243" s="257"/>
      <c r="F243" s="257"/>
      <c r="G243" s="257"/>
      <c r="H243" s="257"/>
      <c r="I243" s="257"/>
      <c r="J243" s="257"/>
      <c r="K243" s="257"/>
    </row>
    <row r="244" spans="1:11" x14ac:dyDescent="0.25">
      <c r="A244" s="268"/>
      <c r="B244" s="268"/>
      <c r="C244" s="268"/>
      <c r="D244" s="257"/>
      <c r="E244" s="257"/>
      <c r="F244" s="257"/>
      <c r="G244" s="257"/>
      <c r="H244" s="257"/>
      <c r="I244" s="257"/>
      <c r="J244" s="257"/>
      <c r="K244" s="257"/>
    </row>
    <row r="245" spans="1:11" x14ac:dyDescent="0.25">
      <c r="A245" s="268"/>
      <c r="B245" s="268"/>
      <c r="C245" s="268"/>
      <c r="D245" s="257"/>
      <c r="E245" s="257"/>
      <c r="F245" s="257"/>
      <c r="G245" s="257"/>
      <c r="H245" s="257"/>
      <c r="I245" s="257"/>
      <c r="J245" s="257"/>
      <c r="K245" s="257"/>
    </row>
    <row r="246" spans="1:11" x14ac:dyDescent="0.25">
      <c r="A246" s="268"/>
      <c r="B246" s="268"/>
      <c r="C246" s="268"/>
      <c r="D246" s="257"/>
      <c r="E246" s="257"/>
      <c r="F246" s="257"/>
      <c r="G246" s="257"/>
      <c r="H246" s="257"/>
      <c r="I246" s="257"/>
      <c r="J246" s="257"/>
      <c r="K246" s="257"/>
    </row>
    <row r="247" spans="1:11" x14ac:dyDescent="0.25">
      <c r="A247" s="268"/>
      <c r="B247" s="268"/>
      <c r="C247" s="268"/>
      <c r="D247" s="257"/>
      <c r="E247" s="257"/>
      <c r="F247" s="257"/>
      <c r="G247" s="257"/>
      <c r="H247" s="257"/>
      <c r="I247" s="257"/>
      <c r="J247" s="257"/>
      <c r="K247" s="257"/>
    </row>
    <row r="248" spans="1:11" x14ac:dyDescent="0.25">
      <c r="A248" s="268"/>
      <c r="B248" s="268"/>
      <c r="C248" s="268"/>
      <c r="D248" s="257"/>
      <c r="E248" s="257"/>
      <c r="F248" s="257"/>
      <c r="G248" s="257"/>
      <c r="H248" s="257"/>
      <c r="I248" s="257"/>
      <c r="J248" s="257"/>
      <c r="K248" s="257"/>
    </row>
    <row r="249" spans="1:11" x14ac:dyDescent="0.25">
      <c r="A249" s="268"/>
      <c r="B249" s="268"/>
      <c r="C249" s="268"/>
      <c r="D249" s="257"/>
      <c r="E249" s="257"/>
      <c r="F249" s="257"/>
      <c r="G249" s="257"/>
      <c r="H249" s="257"/>
      <c r="I249" s="257"/>
      <c r="J249" s="257"/>
      <c r="K249" s="257"/>
    </row>
    <row r="250" spans="1:11" x14ac:dyDescent="0.25">
      <c r="A250" s="268"/>
      <c r="B250" s="268"/>
      <c r="C250" s="268"/>
      <c r="D250" s="257"/>
      <c r="E250" s="257"/>
      <c r="F250" s="257"/>
      <c r="G250" s="257"/>
      <c r="H250" s="257"/>
      <c r="I250" s="257"/>
      <c r="J250" s="257"/>
      <c r="K250" s="257"/>
    </row>
    <row r="251" spans="1:11" x14ac:dyDescent="0.25">
      <c r="A251" s="268"/>
      <c r="B251" s="268"/>
      <c r="C251" s="268"/>
      <c r="D251" s="257"/>
      <c r="E251" s="257"/>
      <c r="F251" s="257"/>
      <c r="G251" s="257"/>
      <c r="H251" s="257"/>
      <c r="I251" s="257"/>
      <c r="J251" s="257"/>
      <c r="K251" s="257"/>
    </row>
    <row r="252" spans="1:11" x14ac:dyDescent="0.25">
      <c r="A252" s="268"/>
      <c r="B252" s="268"/>
      <c r="C252" s="268"/>
      <c r="D252" s="257"/>
      <c r="E252" s="257"/>
      <c r="F252" s="257"/>
      <c r="G252" s="257"/>
      <c r="H252" s="257"/>
      <c r="I252" s="257"/>
      <c r="J252" s="257"/>
      <c r="K252" s="257"/>
    </row>
    <row r="253" spans="1:11" x14ac:dyDescent="0.25">
      <c r="A253" s="268"/>
      <c r="B253" s="268"/>
      <c r="C253" s="268"/>
      <c r="D253" s="257"/>
      <c r="E253" s="257"/>
      <c r="F253" s="257"/>
      <c r="G253" s="257"/>
      <c r="H253" s="257"/>
      <c r="I253" s="257"/>
      <c r="J253" s="257"/>
      <c r="K253" s="257"/>
    </row>
    <row r="254" spans="1:11" x14ac:dyDescent="0.25">
      <c r="A254" s="268"/>
      <c r="B254" s="268"/>
      <c r="C254" s="268"/>
      <c r="D254" s="257"/>
      <c r="E254" s="257"/>
      <c r="F254" s="257"/>
      <c r="G254" s="257"/>
      <c r="H254" s="257"/>
      <c r="I254" s="257"/>
      <c r="J254" s="257"/>
      <c r="K254" s="257"/>
    </row>
    <row r="255" spans="1:11" x14ac:dyDescent="0.25">
      <c r="A255" s="268"/>
      <c r="B255" s="268"/>
      <c r="C255" s="268"/>
      <c r="D255" s="257"/>
      <c r="E255" s="257"/>
      <c r="F255" s="257"/>
      <c r="G255" s="257"/>
      <c r="H255" s="257"/>
      <c r="I255" s="257"/>
      <c r="J255" s="257"/>
      <c r="K255" s="257"/>
    </row>
    <row r="256" spans="1:11" x14ac:dyDescent="0.25">
      <c r="A256" s="268"/>
      <c r="B256" s="268"/>
      <c r="C256" s="268"/>
      <c r="D256" s="257"/>
      <c r="E256" s="257"/>
      <c r="F256" s="257"/>
      <c r="G256" s="257"/>
      <c r="H256" s="257"/>
      <c r="I256" s="257"/>
      <c r="J256" s="257"/>
      <c r="K256" s="257"/>
    </row>
    <row r="257" spans="1:11" x14ac:dyDescent="0.25">
      <c r="A257" s="268"/>
      <c r="B257" s="268"/>
      <c r="C257" s="268"/>
      <c r="D257" s="257"/>
      <c r="E257" s="257"/>
      <c r="F257" s="257"/>
      <c r="G257" s="257"/>
      <c r="H257" s="257"/>
      <c r="I257" s="257"/>
      <c r="J257" s="257"/>
      <c r="K257" s="257"/>
    </row>
    <row r="258" spans="1:11" x14ac:dyDescent="0.25">
      <c r="A258" s="268"/>
      <c r="B258" s="268"/>
      <c r="C258" s="268"/>
      <c r="D258" s="257"/>
      <c r="E258" s="257"/>
      <c r="F258" s="257"/>
      <c r="G258" s="257"/>
      <c r="H258" s="257"/>
      <c r="I258" s="257"/>
      <c r="J258" s="257"/>
      <c r="K258" s="257"/>
    </row>
    <row r="259" spans="1:11" x14ac:dyDescent="0.25">
      <c r="A259" s="268"/>
      <c r="B259" s="268"/>
      <c r="C259" s="268"/>
      <c r="D259" s="257"/>
      <c r="E259" s="257"/>
      <c r="F259" s="257"/>
      <c r="G259" s="257"/>
      <c r="H259" s="257"/>
      <c r="I259" s="257"/>
      <c r="J259" s="257"/>
      <c r="K259" s="257"/>
    </row>
    <row r="260" spans="1:11" x14ac:dyDescent="0.25">
      <c r="A260" s="268"/>
      <c r="B260" s="268"/>
      <c r="C260" s="268"/>
      <c r="D260" s="257"/>
      <c r="E260" s="257"/>
      <c r="F260" s="257"/>
      <c r="G260" s="257"/>
      <c r="H260" s="257"/>
      <c r="I260" s="257"/>
      <c r="J260" s="257"/>
      <c r="K260" s="257"/>
    </row>
    <row r="261" spans="1:11" x14ac:dyDescent="0.25">
      <c r="A261" s="268"/>
      <c r="B261" s="268"/>
      <c r="C261" s="268"/>
      <c r="D261" s="257"/>
      <c r="E261" s="257"/>
      <c r="F261" s="257"/>
      <c r="G261" s="257"/>
      <c r="H261" s="257"/>
      <c r="I261" s="257"/>
      <c r="J261" s="257"/>
      <c r="K261" s="257"/>
    </row>
    <row r="262" spans="1:11" x14ac:dyDescent="0.25">
      <c r="A262" s="268"/>
      <c r="B262" s="268"/>
      <c r="C262" s="268"/>
      <c r="D262" s="257"/>
      <c r="E262" s="257"/>
      <c r="F262" s="257"/>
      <c r="G262" s="257"/>
      <c r="H262" s="257"/>
      <c r="I262" s="257"/>
      <c r="J262" s="257"/>
      <c r="K262" s="257"/>
    </row>
    <row r="263" spans="1:11" x14ac:dyDescent="0.25">
      <c r="A263" s="268"/>
      <c r="B263" s="268"/>
      <c r="C263" s="268"/>
      <c r="D263" s="257"/>
      <c r="E263" s="257"/>
      <c r="F263" s="257"/>
      <c r="G263" s="257"/>
      <c r="H263" s="257"/>
      <c r="I263" s="257"/>
      <c r="J263" s="257"/>
      <c r="K263" s="257"/>
    </row>
    <row r="264" spans="1:11" x14ac:dyDescent="0.25">
      <c r="A264" s="268"/>
      <c r="B264" s="268"/>
      <c r="C264" s="268"/>
      <c r="D264" s="257"/>
      <c r="E264" s="257"/>
      <c r="F264" s="257"/>
      <c r="G264" s="257"/>
      <c r="H264" s="257"/>
      <c r="I264" s="257"/>
      <c r="J264" s="257"/>
      <c r="K264" s="257"/>
    </row>
    <row r="265" spans="1:11" x14ac:dyDescent="0.25">
      <c r="A265" s="268"/>
      <c r="B265" s="268"/>
      <c r="C265" s="268"/>
      <c r="D265" s="257"/>
      <c r="E265" s="257"/>
      <c r="F265" s="257"/>
      <c r="G265" s="257"/>
      <c r="H265" s="257"/>
      <c r="I265" s="257"/>
      <c r="J265" s="257"/>
      <c r="K265" s="257"/>
    </row>
    <row r="266" spans="1:11" x14ac:dyDescent="0.25">
      <c r="A266" s="268"/>
      <c r="B266" s="268"/>
      <c r="C266" s="268"/>
      <c r="D266" s="257"/>
      <c r="E266" s="257"/>
      <c r="F266" s="257"/>
      <c r="G266" s="257"/>
      <c r="H266" s="257"/>
      <c r="I266" s="257"/>
      <c r="J266" s="257"/>
      <c r="K266" s="257"/>
    </row>
    <row r="267" spans="1:11" x14ac:dyDescent="0.25">
      <c r="A267" s="268"/>
      <c r="B267" s="268"/>
      <c r="C267" s="268"/>
      <c r="D267" s="257"/>
      <c r="E267" s="257"/>
      <c r="F267" s="257"/>
      <c r="G267" s="257"/>
      <c r="H267" s="257"/>
      <c r="I267" s="257"/>
      <c r="J267" s="257"/>
      <c r="K267" s="257"/>
    </row>
    <row r="268" spans="1:11" x14ac:dyDescent="0.25">
      <c r="A268" s="268"/>
      <c r="B268" s="268"/>
      <c r="C268" s="268"/>
      <c r="D268" s="257"/>
      <c r="E268" s="257"/>
      <c r="F268" s="257"/>
      <c r="G268" s="257"/>
      <c r="H268" s="257"/>
      <c r="I268" s="257"/>
      <c r="J268" s="257"/>
      <c r="K268" s="257"/>
    </row>
    <row r="269" spans="1:11" x14ac:dyDescent="0.25">
      <c r="A269" s="268"/>
      <c r="B269" s="268"/>
      <c r="C269" s="268"/>
      <c r="D269" s="257"/>
      <c r="E269" s="257"/>
      <c r="F269" s="257"/>
      <c r="G269" s="257"/>
      <c r="H269" s="257"/>
      <c r="I269" s="257"/>
      <c r="J269" s="257"/>
      <c r="K269" s="257"/>
    </row>
    <row r="270" spans="1:11" x14ac:dyDescent="0.25">
      <c r="A270" s="268"/>
      <c r="B270" s="268"/>
      <c r="C270" s="268"/>
      <c r="D270" s="257"/>
      <c r="E270" s="257"/>
      <c r="F270" s="257"/>
      <c r="G270" s="257"/>
      <c r="H270" s="257"/>
      <c r="I270" s="257"/>
      <c r="J270" s="257"/>
      <c r="K270" s="257"/>
    </row>
    <row r="271" spans="1:11" x14ac:dyDescent="0.25">
      <c r="A271" s="268"/>
      <c r="B271" s="268"/>
      <c r="C271" s="268"/>
      <c r="D271" s="257"/>
      <c r="E271" s="257"/>
      <c r="F271" s="257"/>
      <c r="G271" s="257"/>
      <c r="H271" s="257"/>
      <c r="I271" s="257"/>
      <c r="J271" s="257"/>
      <c r="K271" s="257"/>
    </row>
    <row r="272" spans="1:11" x14ac:dyDescent="0.25">
      <c r="A272" s="268"/>
      <c r="B272" s="268"/>
      <c r="C272" s="268"/>
      <c r="D272" s="257"/>
      <c r="E272" s="257"/>
      <c r="F272" s="257"/>
      <c r="G272" s="257"/>
      <c r="H272" s="257"/>
      <c r="I272" s="257"/>
      <c r="J272" s="257"/>
      <c r="K272" s="257"/>
    </row>
    <row r="273" spans="1:11" x14ac:dyDescent="0.25">
      <c r="A273" s="268"/>
      <c r="B273" s="268"/>
      <c r="C273" s="268"/>
      <c r="D273" s="257"/>
      <c r="E273" s="257"/>
      <c r="F273" s="257"/>
      <c r="G273" s="257"/>
      <c r="H273" s="257"/>
      <c r="I273" s="257"/>
      <c r="J273" s="257"/>
      <c r="K273" s="257"/>
    </row>
    <row r="274" spans="1:11" x14ac:dyDescent="0.25">
      <c r="A274" s="268"/>
      <c r="B274" s="268"/>
      <c r="C274" s="268"/>
      <c r="D274" s="257"/>
      <c r="E274" s="257"/>
      <c r="F274" s="257"/>
      <c r="G274" s="257"/>
      <c r="H274" s="257"/>
      <c r="I274" s="257"/>
      <c r="J274" s="257"/>
      <c r="K274" s="257"/>
    </row>
    <row r="275" spans="1:11" x14ac:dyDescent="0.25">
      <c r="A275" s="268"/>
      <c r="B275" s="268"/>
      <c r="C275" s="268"/>
      <c r="D275" s="257"/>
      <c r="E275" s="257"/>
      <c r="F275" s="257"/>
      <c r="G275" s="257"/>
      <c r="H275" s="257"/>
      <c r="I275" s="257"/>
      <c r="J275" s="257"/>
      <c r="K275" s="257"/>
    </row>
    <row r="276" spans="1:11" x14ac:dyDescent="0.25">
      <c r="A276" s="268"/>
      <c r="B276" s="268"/>
      <c r="C276" s="268"/>
      <c r="D276" s="257"/>
      <c r="E276" s="257"/>
      <c r="F276" s="257"/>
      <c r="G276" s="257"/>
      <c r="H276" s="257"/>
      <c r="I276" s="257"/>
      <c r="J276" s="257"/>
      <c r="K276" s="257"/>
    </row>
    <row r="277" spans="1:11" x14ac:dyDescent="0.25">
      <c r="A277" s="268"/>
      <c r="B277" s="268"/>
      <c r="C277" s="268"/>
      <c r="D277" s="257"/>
      <c r="E277" s="257"/>
      <c r="F277" s="257"/>
      <c r="G277" s="257"/>
      <c r="H277" s="257"/>
      <c r="I277" s="257"/>
      <c r="J277" s="257"/>
      <c r="K277" s="257"/>
    </row>
    <row r="278" spans="1:11" x14ac:dyDescent="0.25">
      <c r="A278" s="268"/>
      <c r="B278" s="268"/>
      <c r="C278" s="268"/>
      <c r="D278" s="257"/>
      <c r="E278" s="257"/>
      <c r="F278" s="257"/>
      <c r="G278" s="257"/>
      <c r="H278" s="257"/>
      <c r="I278" s="257"/>
      <c r="J278" s="257"/>
      <c r="K278" s="257"/>
    </row>
    <row r="279" spans="1:11" x14ac:dyDescent="0.25">
      <c r="A279" s="268"/>
      <c r="B279" s="268"/>
      <c r="C279" s="268"/>
      <c r="D279" s="257"/>
      <c r="E279" s="257"/>
      <c r="F279" s="257"/>
      <c r="G279" s="257"/>
      <c r="H279" s="257"/>
      <c r="I279" s="257"/>
      <c r="J279" s="257"/>
      <c r="K279" s="257"/>
    </row>
    <row r="280" spans="1:11" x14ac:dyDescent="0.25">
      <c r="A280" s="268"/>
      <c r="B280" s="268"/>
      <c r="C280" s="268"/>
      <c r="D280" s="257"/>
      <c r="E280" s="257"/>
      <c r="F280" s="257"/>
      <c r="G280" s="257"/>
      <c r="H280" s="257"/>
      <c r="I280" s="257"/>
      <c r="J280" s="257"/>
      <c r="K280" s="257"/>
    </row>
    <row r="281" spans="1:11" x14ac:dyDescent="0.25">
      <c r="A281" s="268"/>
      <c r="B281" s="268"/>
      <c r="C281" s="268"/>
      <c r="D281" s="257"/>
      <c r="E281" s="257"/>
      <c r="F281" s="257"/>
      <c r="G281" s="257"/>
      <c r="H281" s="257"/>
      <c r="I281" s="257"/>
      <c r="J281" s="257"/>
      <c r="K281" s="257"/>
    </row>
    <row r="282" spans="1:11" x14ac:dyDescent="0.25">
      <c r="A282" s="268"/>
      <c r="B282" s="268"/>
      <c r="C282" s="268"/>
      <c r="D282" s="257"/>
      <c r="E282" s="257"/>
      <c r="F282" s="257"/>
      <c r="G282" s="257"/>
      <c r="H282" s="257"/>
      <c r="I282" s="257"/>
      <c r="J282" s="257"/>
      <c r="K282" s="257"/>
    </row>
    <row r="283" spans="1:11" x14ac:dyDescent="0.25">
      <c r="A283" s="268"/>
      <c r="B283" s="268"/>
      <c r="C283" s="268"/>
      <c r="D283" s="257"/>
      <c r="E283" s="257"/>
      <c r="F283" s="257"/>
      <c r="G283" s="257"/>
      <c r="H283" s="257"/>
      <c r="I283" s="257"/>
      <c r="J283" s="257"/>
      <c r="K283" s="257"/>
    </row>
    <row r="284" spans="1:11" x14ac:dyDescent="0.25">
      <c r="A284" s="268"/>
      <c r="B284" s="268"/>
      <c r="C284" s="268"/>
      <c r="D284" s="257"/>
      <c r="E284" s="257"/>
      <c r="F284" s="257"/>
      <c r="G284" s="257"/>
      <c r="H284" s="257"/>
      <c r="I284" s="257"/>
      <c r="J284" s="257"/>
      <c r="K284" s="257"/>
    </row>
    <row r="285" spans="1:11" x14ac:dyDescent="0.25">
      <c r="A285" s="268"/>
      <c r="B285" s="268"/>
      <c r="C285" s="268"/>
      <c r="D285" s="257"/>
      <c r="E285" s="257"/>
      <c r="F285" s="257"/>
      <c r="G285" s="257"/>
      <c r="H285" s="257"/>
      <c r="I285" s="257"/>
      <c r="J285" s="257"/>
      <c r="K285" s="257"/>
    </row>
    <row r="286" spans="1:11" x14ac:dyDescent="0.25">
      <c r="A286" s="268"/>
      <c r="B286" s="268"/>
      <c r="C286" s="268"/>
      <c r="D286" s="257"/>
      <c r="E286" s="257"/>
      <c r="F286" s="257"/>
      <c r="G286" s="257"/>
      <c r="H286" s="257"/>
      <c r="I286" s="257"/>
      <c r="J286" s="257"/>
      <c r="K286" s="257"/>
    </row>
    <row r="287" spans="1:11" x14ac:dyDescent="0.25">
      <c r="A287" s="268"/>
      <c r="B287" s="268"/>
      <c r="C287" s="268"/>
      <c r="D287" s="257"/>
      <c r="E287" s="257"/>
      <c r="F287" s="257"/>
      <c r="G287" s="257"/>
      <c r="H287" s="257"/>
      <c r="I287" s="257"/>
      <c r="J287" s="257"/>
      <c r="K287" s="257"/>
    </row>
    <row r="288" spans="1:11" x14ac:dyDescent="0.25">
      <c r="A288" s="268"/>
      <c r="B288" s="268"/>
      <c r="C288" s="268"/>
      <c r="D288" s="257"/>
      <c r="E288" s="257"/>
      <c r="F288" s="257"/>
      <c r="G288" s="257"/>
      <c r="H288" s="257"/>
      <c r="I288" s="257"/>
      <c r="J288" s="257"/>
      <c r="K288" s="257"/>
    </row>
    <row r="289" spans="1:11" x14ac:dyDescent="0.25">
      <c r="A289" s="268"/>
      <c r="B289" s="268"/>
      <c r="C289" s="268"/>
      <c r="D289" s="257"/>
      <c r="E289" s="257"/>
      <c r="F289" s="257"/>
      <c r="G289" s="257"/>
      <c r="H289" s="257"/>
      <c r="I289" s="257"/>
      <c r="J289" s="257"/>
      <c r="K289" s="257"/>
    </row>
    <row r="290" spans="1:11" x14ac:dyDescent="0.25">
      <c r="A290" s="268"/>
      <c r="B290" s="268"/>
      <c r="C290" s="268"/>
      <c r="D290" s="257"/>
      <c r="E290" s="257"/>
      <c r="F290" s="257"/>
      <c r="G290" s="257"/>
      <c r="H290" s="257"/>
      <c r="I290" s="257"/>
      <c r="J290" s="257"/>
      <c r="K290" s="257"/>
    </row>
    <row r="291" spans="1:11" x14ac:dyDescent="0.25">
      <c r="A291" s="268"/>
      <c r="B291" s="268"/>
      <c r="C291" s="268"/>
      <c r="D291" s="257"/>
      <c r="E291" s="257"/>
      <c r="F291" s="257"/>
      <c r="G291" s="257"/>
      <c r="H291" s="257"/>
      <c r="I291" s="257"/>
      <c r="J291" s="257"/>
      <c r="K291" s="257"/>
    </row>
    <row r="292" spans="1:11" x14ac:dyDescent="0.25">
      <c r="A292" s="268"/>
      <c r="B292" s="268"/>
      <c r="C292" s="268"/>
      <c r="D292" s="257"/>
      <c r="E292" s="257"/>
      <c r="F292" s="257"/>
      <c r="G292" s="257"/>
      <c r="H292" s="257"/>
      <c r="I292" s="257"/>
      <c r="J292" s="257"/>
      <c r="K292" s="257"/>
    </row>
    <row r="293" spans="1:11" x14ac:dyDescent="0.25">
      <c r="A293" s="268"/>
      <c r="B293" s="268"/>
      <c r="C293" s="268"/>
      <c r="D293" s="257"/>
      <c r="E293" s="257"/>
      <c r="F293" s="257"/>
      <c r="G293" s="257"/>
      <c r="H293" s="257"/>
      <c r="I293" s="257"/>
      <c r="J293" s="257"/>
      <c r="K293" s="257"/>
    </row>
    <row r="294" spans="1:11" x14ac:dyDescent="0.25">
      <c r="A294" s="268"/>
      <c r="B294" s="268"/>
      <c r="C294" s="268"/>
      <c r="D294" s="257"/>
      <c r="E294" s="257"/>
      <c r="F294" s="257"/>
      <c r="G294" s="257"/>
      <c r="H294" s="257"/>
      <c r="I294" s="257"/>
      <c r="J294" s="257"/>
      <c r="K294" s="257"/>
    </row>
    <row r="295" spans="1:11" x14ac:dyDescent="0.25">
      <c r="A295" s="268"/>
      <c r="B295" s="268"/>
      <c r="C295" s="268"/>
      <c r="D295" s="257"/>
      <c r="E295" s="257"/>
      <c r="F295" s="257"/>
      <c r="G295" s="257"/>
      <c r="H295" s="257"/>
      <c r="I295" s="257"/>
      <c r="J295" s="257"/>
      <c r="K295" s="257"/>
    </row>
    <row r="296" spans="1:11" x14ac:dyDescent="0.25">
      <c r="A296" s="268"/>
      <c r="B296" s="268"/>
      <c r="C296" s="268"/>
      <c r="D296" s="257"/>
      <c r="E296" s="257"/>
      <c r="F296" s="257"/>
      <c r="G296" s="257"/>
      <c r="H296" s="257"/>
      <c r="I296" s="257"/>
      <c r="J296" s="257"/>
      <c r="K296" s="257"/>
    </row>
    <row r="297" spans="1:11" x14ac:dyDescent="0.25">
      <c r="A297" s="268"/>
      <c r="B297" s="268"/>
      <c r="C297" s="268"/>
      <c r="D297" s="257"/>
      <c r="E297" s="257"/>
      <c r="F297" s="257"/>
      <c r="G297" s="257"/>
      <c r="H297" s="257"/>
      <c r="I297" s="257"/>
      <c r="J297" s="257"/>
      <c r="K297" s="257"/>
    </row>
    <row r="298" spans="1:11" x14ac:dyDescent="0.25">
      <c r="A298" s="268"/>
      <c r="B298" s="268"/>
      <c r="C298" s="268"/>
      <c r="D298" s="257"/>
      <c r="E298" s="257"/>
      <c r="F298" s="257"/>
      <c r="G298" s="257"/>
      <c r="H298" s="257"/>
      <c r="I298" s="257"/>
      <c r="J298" s="257"/>
      <c r="K298" s="257"/>
    </row>
    <row r="299" spans="1:11" x14ac:dyDescent="0.25">
      <c r="A299" s="268"/>
      <c r="B299" s="268"/>
      <c r="C299" s="268"/>
      <c r="D299" s="257"/>
      <c r="E299" s="257"/>
      <c r="F299" s="257"/>
      <c r="G299" s="257"/>
      <c r="H299" s="257"/>
      <c r="I299" s="257"/>
      <c r="J299" s="257"/>
      <c r="K299" s="257"/>
    </row>
    <row r="300" spans="1:11" x14ac:dyDescent="0.25">
      <c r="A300" s="268"/>
      <c r="B300" s="268"/>
      <c r="C300" s="268"/>
      <c r="D300" s="257"/>
      <c r="E300" s="257"/>
      <c r="F300" s="257"/>
      <c r="G300" s="257"/>
      <c r="H300" s="257"/>
      <c r="I300" s="257"/>
      <c r="J300" s="257"/>
      <c r="K300" s="257"/>
    </row>
    <row r="301" spans="1:11" x14ac:dyDescent="0.25">
      <c r="A301" s="268"/>
      <c r="B301" s="268"/>
      <c r="C301" s="268"/>
      <c r="D301" s="257"/>
      <c r="E301" s="257"/>
      <c r="F301" s="257"/>
      <c r="G301" s="257"/>
      <c r="H301" s="257"/>
      <c r="I301" s="257"/>
      <c r="J301" s="257"/>
      <c r="K301" s="257"/>
    </row>
    <row r="302" spans="1:11" x14ac:dyDescent="0.25">
      <c r="A302" s="268"/>
      <c r="B302" s="268"/>
      <c r="C302" s="268"/>
      <c r="D302" s="257"/>
      <c r="E302" s="257"/>
      <c r="F302" s="257"/>
      <c r="G302" s="257"/>
      <c r="H302" s="257"/>
      <c r="I302" s="257"/>
      <c r="J302" s="257"/>
      <c r="K302" s="257"/>
    </row>
    <row r="303" spans="1:11" x14ac:dyDescent="0.25">
      <c r="A303" s="268"/>
      <c r="B303" s="268"/>
      <c r="C303" s="268"/>
      <c r="D303" s="257"/>
      <c r="E303" s="257"/>
      <c r="F303" s="257"/>
      <c r="G303" s="257"/>
      <c r="H303" s="257"/>
      <c r="I303" s="257"/>
      <c r="J303" s="257"/>
      <c r="K303" s="257"/>
    </row>
    <row r="304" spans="1:11" x14ac:dyDescent="0.25">
      <c r="A304" s="268"/>
      <c r="B304" s="268"/>
      <c r="C304" s="268"/>
      <c r="D304" s="257"/>
      <c r="E304" s="257"/>
      <c r="F304" s="257"/>
      <c r="G304" s="257"/>
      <c r="H304" s="257"/>
      <c r="I304" s="257"/>
      <c r="J304" s="257"/>
      <c r="K304" s="257"/>
    </row>
    <row r="305" spans="1:11" x14ac:dyDescent="0.25">
      <c r="A305" s="268"/>
      <c r="B305" s="268"/>
      <c r="C305" s="268"/>
      <c r="D305" s="257"/>
      <c r="E305" s="257"/>
      <c r="F305" s="257"/>
      <c r="G305" s="257"/>
      <c r="H305" s="257"/>
      <c r="I305" s="257"/>
      <c r="J305" s="257"/>
      <c r="K305" s="257"/>
    </row>
    <row r="306" spans="1:11" x14ac:dyDescent="0.25">
      <c r="A306" s="268"/>
      <c r="B306" s="268"/>
      <c r="C306" s="268"/>
      <c r="D306" s="257"/>
      <c r="E306" s="257"/>
      <c r="F306" s="257"/>
      <c r="G306" s="257"/>
      <c r="H306" s="257"/>
      <c r="I306" s="257"/>
      <c r="J306" s="257"/>
      <c r="K306" s="257"/>
    </row>
    <row r="307" spans="1:11" x14ac:dyDescent="0.25">
      <c r="A307" s="268"/>
      <c r="B307" s="268"/>
      <c r="C307" s="268"/>
      <c r="D307" s="257"/>
      <c r="E307" s="257"/>
      <c r="F307" s="257"/>
      <c r="G307" s="257"/>
      <c r="H307" s="257"/>
      <c r="I307" s="257"/>
      <c r="J307" s="257"/>
      <c r="K307" s="257"/>
    </row>
    <row r="308" spans="1:11" x14ac:dyDescent="0.25">
      <c r="A308" s="268"/>
      <c r="B308" s="268"/>
      <c r="C308" s="268"/>
      <c r="D308" s="257"/>
      <c r="E308" s="257"/>
      <c r="F308" s="257"/>
      <c r="G308" s="257"/>
      <c r="H308" s="257"/>
      <c r="I308" s="257"/>
      <c r="J308" s="257"/>
      <c r="K308" s="257"/>
    </row>
    <row r="309" spans="1:11" x14ac:dyDescent="0.25">
      <c r="A309" s="268"/>
      <c r="B309" s="268"/>
      <c r="C309" s="268"/>
      <c r="D309" s="257"/>
      <c r="E309" s="257"/>
      <c r="F309" s="257"/>
      <c r="G309" s="257"/>
      <c r="H309" s="257"/>
      <c r="I309" s="257"/>
      <c r="J309" s="257"/>
      <c r="K309" s="257"/>
    </row>
    <row r="310" spans="1:11" x14ac:dyDescent="0.25">
      <c r="A310" s="268"/>
      <c r="B310" s="268"/>
      <c r="C310" s="268"/>
      <c r="D310" s="257"/>
      <c r="E310" s="257"/>
      <c r="F310" s="257"/>
      <c r="G310" s="257"/>
      <c r="H310" s="257"/>
      <c r="I310" s="257"/>
      <c r="J310" s="257"/>
      <c r="K310" s="257"/>
    </row>
    <row r="311" spans="1:11" x14ac:dyDescent="0.25">
      <c r="A311" s="268"/>
      <c r="B311" s="268"/>
      <c r="C311" s="268"/>
      <c r="D311" s="257"/>
      <c r="E311" s="257"/>
      <c r="F311" s="257"/>
      <c r="G311" s="257"/>
      <c r="H311" s="257"/>
      <c r="I311" s="257"/>
      <c r="J311" s="257"/>
      <c r="K311" s="257"/>
    </row>
    <row r="312" spans="1:11" x14ac:dyDescent="0.25">
      <c r="A312" s="268"/>
      <c r="B312" s="268"/>
      <c r="C312" s="268"/>
      <c r="D312" s="257"/>
      <c r="E312" s="257"/>
      <c r="F312" s="257"/>
      <c r="G312" s="257"/>
      <c r="H312" s="257"/>
      <c r="I312" s="257"/>
      <c r="J312" s="257"/>
      <c r="K312" s="257"/>
    </row>
    <row r="313" spans="1:11" x14ac:dyDescent="0.25">
      <c r="A313" s="268"/>
      <c r="B313" s="268"/>
      <c r="C313" s="268"/>
      <c r="D313" s="257"/>
      <c r="E313" s="257"/>
      <c r="F313" s="257"/>
      <c r="G313" s="257"/>
      <c r="H313" s="257"/>
      <c r="I313" s="257"/>
      <c r="J313" s="257"/>
      <c r="K313" s="257"/>
    </row>
    <row r="314" spans="1:11" x14ac:dyDescent="0.25">
      <c r="A314" s="268"/>
      <c r="B314" s="268"/>
      <c r="C314" s="268"/>
      <c r="D314" s="257"/>
      <c r="E314" s="257"/>
      <c r="F314" s="257"/>
      <c r="G314" s="257"/>
      <c r="H314" s="257"/>
      <c r="I314" s="257"/>
      <c r="J314" s="257"/>
      <c r="K314" s="257"/>
    </row>
    <row r="315" spans="1:11" x14ac:dyDescent="0.25">
      <c r="A315" s="268"/>
      <c r="B315" s="268"/>
      <c r="C315" s="268"/>
      <c r="D315" s="257"/>
      <c r="E315" s="257"/>
      <c r="F315" s="257"/>
      <c r="G315" s="257"/>
      <c r="H315" s="257"/>
      <c r="I315" s="257"/>
      <c r="J315" s="257"/>
      <c r="K315" s="257"/>
    </row>
    <row r="316" spans="1:11" x14ac:dyDescent="0.25">
      <c r="A316" s="268"/>
      <c r="B316" s="268"/>
      <c r="C316" s="268"/>
      <c r="D316" s="257"/>
      <c r="E316" s="257"/>
      <c r="F316" s="257"/>
      <c r="G316" s="257"/>
      <c r="H316" s="257"/>
      <c r="I316" s="257"/>
      <c r="J316" s="257"/>
      <c r="K316" s="257"/>
    </row>
    <row r="317" spans="1:11" x14ac:dyDescent="0.25">
      <c r="A317" s="268"/>
      <c r="B317" s="268"/>
      <c r="C317" s="268"/>
      <c r="D317" s="257"/>
      <c r="E317" s="257"/>
      <c r="F317" s="257"/>
      <c r="G317" s="257"/>
      <c r="H317" s="257"/>
      <c r="I317" s="257"/>
      <c r="J317" s="257"/>
      <c r="K317" s="257"/>
    </row>
    <row r="318" spans="1:11" x14ac:dyDescent="0.25">
      <c r="A318" s="268"/>
      <c r="B318" s="268"/>
      <c r="C318" s="268"/>
      <c r="D318" s="257"/>
      <c r="E318" s="257"/>
      <c r="F318" s="257"/>
      <c r="G318" s="257"/>
      <c r="H318" s="257"/>
      <c r="I318" s="257"/>
      <c r="J318" s="257"/>
      <c r="K318" s="257"/>
    </row>
    <row r="319" spans="1:11" x14ac:dyDescent="0.25">
      <c r="A319" s="268"/>
      <c r="B319" s="268"/>
      <c r="C319" s="268"/>
      <c r="D319" s="257"/>
      <c r="E319" s="257"/>
      <c r="F319" s="257"/>
      <c r="G319" s="257"/>
      <c r="H319" s="257"/>
      <c r="I319" s="257"/>
      <c r="J319" s="257"/>
      <c r="K319" s="257"/>
    </row>
    <row r="320" spans="1:11" x14ac:dyDescent="0.25">
      <c r="A320" s="268"/>
      <c r="B320" s="268"/>
      <c r="C320" s="268"/>
      <c r="D320" s="257"/>
      <c r="E320" s="257"/>
      <c r="F320" s="257"/>
      <c r="G320" s="257"/>
      <c r="H320" s="257"/>
      <c r="I320" s="257"/>
      <c r="J320" s="257"/>
      <c r="K320" s="257"/>
    </row>
    <row r="321" spans="1:11" x14ac:dyDescent="0.25">
      <c r="A321" s="268"/>
      <c r="B321" s="268"/>
      <c r="C321" s="268"/>
      <c r="D321" s="257"/>
      <c r="E321" s="257"/>
      <c r="F321" s="257"/>
      <c r="G321" s="257"/>
      <c r="H321" s="257"/>
      <c r="I321" s="257"/>
      <c r="J321" s="257"/>
      <c r="K321" s="257"/>
    </row>
    <row r="322" spans="1:11" x14ac:dyDescent="0.25">
      <c r="A322" s="268"/>
      <c r="B322" s="268"/>
      <c r="C322" s="268"/>
      <c r="D322" s="257"/>
      <c r="E322" s="257"/>
      <c r="F322" s="257"/>
      <c r="G322" s="257"/>
      <c r="H322" s="257"/>
      <c r="I322" s="257"/>
      <c r="J322" s="257"/>
      <c r="K322" s="257"/>
    </row>
    <row r="323" spans="1:11" x14ac:dyDescent="0.25">
      <c r="A323" s="268"/>
      <c r="B323" s="268"/>
      <c r="C323" s="268"/>
      <c r="D323" s="257"/>
      <c r="E323" s="257"/>
      <c r="F323" s="257"/>
      <c r="G323" s="257"/>
      <c r="H323" s="257"/>
      <c r="I323" s="257"/>
      <c r="J323" s="257"/>
      <c r="K323" s="257"/>
    </row>
    <row r="324" spans="1:11" x14ac:dyDescent="0.25">
      <c r="A324" s="268"/>
      <c r="B324" s="268"/>
      <c r="C324" s="268"/>
      <c r="D324" s="257"/>
      <c r="E324" s="257"/>
      <c r="F324" s="257"/>
      <c r="G324" s="257"/>
      <c r="H324" s="257"/>
      <c r="I324" s="257"/>
      <c r="J324" s="257"/>
      <c r="K324" s="257"/>
    </row>
    <row r="325" spans="1:11" x14ac:dyDescent="0.25">
      <c r="A325" s="268"/>
      <c r="B325" s="268"/>
      <c r="C325" s="268"/>
      <c r="D325" s="257"/>
      <c r="E325" s="257"/>
      <c r="F325" s="257"/>
      <c r="G325" s="257"/>
      <c r="H325" s="257"/>
      <c r="I325" s="257"/>
      <c r="J325" s="257"/>
      <c r="K325" s="257"/>
    </row>
    <row r="326" spans="1:11" x14ac:dyDescent="0.25">
      <c r="A326" s="268"/>
      <c r="B326" s="268"/>
      <c r="C326" s="268"/>
      <c r="D326" s="257"/>
      <c r="E326" s="257"/>
      <c r="F326" s="257"/>
      <c r="G326" s="257"/>
      <c r="H326" s="257"/>
      <c r="I326" s="257"/>
      <c r="J326" s="257"/>
      <c r="K326" s="257"/>
    </row>
    <row r="327" spans="1:11" x14ac:dyDescent="0.25">
      <c r="A327" s="268"/>
      <c r="B327" s="268"/>
      <c r="C327" s="268"/>
      <c r="D327" s="257"/>
      <c r="E327" s="257"/>
      <c r="F327" s="257"/>
      <c r="G327" s="257"/>
      <c r="H327" s="257"/>
      <c r="I327" s="257"/>
      <c r="J327" s="257"/>
      <c r="K327" s="257"/>
    </row>
    <row r="328" spans="1:11" x14ac:dyDescent="0.25">
      <c r="A328" s="268"/>
      <c r="B328" s="268"/>
      <c r="C328" s="268"/>
      <c r="D328" s="257"/>
      <c r="E328" s="257"/>
      <c r="F328" s="257"/>
      <c r="G328" s="257"/>
      <c r="H328" s="257"/>
      <c r="I328" s="257"/>
      <c r="J328" s="257"/>
      <c r="K328" s="257"/>
    </row>
    <row r="329" spans="1:11" x14ac:dyDescent="0.25">
      <c r="A329" s="268"/>
      <c r="B329" s="268"/>
      <c r="C329" s="268"/>
      <c r="D329" s="257"/>
      <c r="E329" s="257"/>
      <c r="F329" s="257"/>
      <c r="G329" s="257"/>
      <c r="H329" s="257"/>
      <c r="I329" s="257"/>
      <c r="J329" s="257"/>
      <c r="K329" s="257"/>
    </row>
    <row r="330" spans="1:11" x14ac:dyDescent="0.25">
      <c r="A330" s="268"/>
      <c r="B330" s="268"/>
      <c r="C330" s="268"/>
      <c r="D330" s="257"/>
      <c r="E330" s="257"/>
      <c r="F330" s="257"/>
      <c r="G330" s="257"/>
      <c r="H330" s="257"/>
      <c r="I330" s="257"/>
      <c r="J330" s="257"/>
      <c r="K330" s="257"/>
    </row>
    <row r="331" spans="1:11" x14ac:dyDescent="0.25">
      <c r="A331" s="268"/>
      <c r="B331" s="268"/>
      <c r="C331" s="268"/>
      <c r="D331" s="257"/>
      <c r="E331" s="257"/>
      <c r="F331" s="257"/>
      <c r="G331" s="257"/>
      <c r="H331" s="257"/>
      <c r="I331" s="257"/>
      <c r="J331" s="257"/>
      <c r="K331" s="257"/>
    </row>
    <row r="332" spans="1:11" x14ac:dyDescent="0.25">
      <c r="A332" s="268"/>
      <c r="B332" s="268"/>
      <c r="C332" s="268"/>
      <c r="D332" s="257"/>
      <c r="E332" s="257"/>
      <c r="F332" s="257"/>
      <c r="G332" s="257"/>
      <c r="H332" s="257"/>
      <c r="I332" s="257"/>
      <c r="J332" s="257"/>
      <c r="K332" s="257"/>
    </row>
    <row r="333" spans="1:11" x14ac:dyDescent="0.25">
      <c r="A333" s="268"/>
      <c r="B333" s="268"/>
      <c r="C333" s="268"/>
      <c r="D333" s="257"/>
      <c r="E333" s="257"/>
      <c r="F333" s="257"/>
      <c r="G333" s="257"/>
      <c r="H333" s="257"/>
      <c r="I333" s="257"/>
      <c r="J333" s="257"/>
      <c r="K333" s="257"/>
    </row>
    <row r="334" spans="1:11" x14ac:dyDescent="0.25">
      <c r="A334" s="268"/>
      <c r="B334" s="268"/>
      <c r="C334" s="268"/>
      <c r="D334" s="257"/>
      <c r="E334" s="257"/>
      <c r="F334" s="257"/>
      <c r="G334" s="257"/>
      <c r="H334" s="257"/>
      <c r="I334" s="257"/>
      <c r="J334" s="257"/>
      <c r="K334" s="257"/>
    </row>
    <row r="335" spans="1:11" x14ac:dyDescent="0.25">
      <c r="A335" s="268"/>
      <c r="B335" s="268"/>
      <c r="C335" s="268"/>
      <c r="D335" s="257"/>
      <c r="E335" s="257"/>
      <c r="F335" s="257"/>
      <c r="G335" s="257"/>
      <c r="H335" s="257"/>
      <c r="I335" s="257"/>
      <c r="J335" s="257"/>
      <c r="K335" s="257"/>
    </row>
    <row r="336" spans="1:11" x14ac:dyDescent="0.25">
      <c r="A336" s="268"/>
      <c r="B336" s="268"/>
      <c r="C336" s="268"/>
      <c r="D336" s="257"/>
      <c r="E336" s="257"/>
      <c r="F336" s="257"/>
      <c r="G336" s="257"/>
      <c r="H336" s="257"/>
      <c r="I336" s="257"/>
      <c r="J336" s="257"/>
      <c r="K336" s="257"/>
    </row>
    <row r="337" spans="1:11" x14ac:dyDescent="0.25">
      <c r="A337" s="268"/>
      <c r="B337" s="268"/>
      <c r="C337" s="268"/>
      <c r="D337" s="257"/>
      <c r="E337" s="257"/>
      <c r="F337" s="257"/>
      <c r="G337" s="257"/>
      <c r="H337" s="257"/>
      <c r="I337" s="257"/>
      <c r="J337" s="257"/>
      <c r="K337" s="257"/>
    </row>
    <row r="338" spans="1:11" x14ac:dyDescent="0.25">
      <c r="A338" s="268"/>
      <c r="B338" s="268"/>
      <c r="C338" s="268"/>
      <c r="D338" s="257"/>
      <c r="E338" s="257"/>
      <c r="F338" s="257"/>
      <c r="G338" s="257"/>
      <c r="H338" s="257"/>
      <c r="I338" s="257"/>
      <c r="J338" s="257"/>
      <c r="K338" s="257"/>
    </row>
    <row r="339" spans="1:11" x14ac:dyDescent="0.25">
      <c r="A339" s="268"/>
      <c r="B339" s="268"/>
      <c r="C339" s="268"/>
      <c r="D339" s="257"/>
      <c r="E339" s="257"/>
      <c r="F339" s="257"/>
      <c r="G339" s="257"/>
      <c r="H339" s="257"/>
      <c r="I339" s="257"/>
      <c r="J339" s="257"/>
      <c r="K339" s="257"/>
    </row>
    <row r="340" spans="1:11" x14ac:dyDescent="0.25">
      <c r="A340" s="268"/>
      <c r="B340" s="268"/>
      <c r="C340" s="268"/>
      <c r="D340" s="257"/>
      <c r="E340" s="257"/>
      <c r="F340" s="257"/>
      <c r="G340" s="257"/>
      <c r="H340" s="257"/>
      <c r="I340" s="257"/>
      <c r="J340" s="257"/>
      <c r="K340" s="257"/>
    </row>
    <row r="341" spans="1:11" x14ac:dyDescent="0.25">
      <c r="A341" s="268"/>
      <c r="B341" s="268"/>
      <c r="C341" s="268"/>
      <c r="D341" s="257"/>
      <c r="E341" s="257"/>
      <c r="F341" s="257"/>
      <c r="G341" s="257"/>
      <c r="H341" s="257"/>
      <c r="I341" s="257"/>
      <c r="J341" s="257"/>
      <c r="K341" s="257"/>
    </row>
    <row r="342" spans="1:11" x14ac:dyDescent="0.25">
      <c r="A342" s="268"/>
      <c r="B342" s="268"/>
      <c r="C342" s="268"/>
      <c r="D342" s="257"/>
      <c r="E342" s="257"/>
      <c r="F342" s="257"/>
      <c r="G342" s="257"/>
      <c r="H342" s="257"/>
      <c r="I342" s="257"/>
      <c r="J342" s="257"/>
      <c r="K342" s="257"/>
    </row>
    <row r="343" spans="1:11" x14ac:dyDescent="0.25">
      <c r="A343" s="268"/>
      <c r="B343" s="268"/>
      <c r="C343" s="268"/>
      <c r="D343" s="257"/>
      <c r="E343" s="257"/>
      <c r="F343" s="257"/>
      <c r="G343" s="257"/>
      <c r="H343" s="257"/>
      <c r="I343" s="257"/>
      <c r="J343" s="257"/>
      <c r="K343" s="257"/>
    </row>
    <row r="344" spans="1:11" x14ac:dyDescent="0.25">
      <c r="A344" s="268"/>
      <c r="B344" s="268"/>
      <c r="C344" s="268"/>
      <c r="D344" s="257"/>
      <c r="E344" s="257"/>
      <c r="F344" s="257"/>
      <c r="G344" s="257"/>
      <c r="H344" s="257"/>
      <c r="I344" s="257"/>
      <c r="J344" s="257"/>
      <c r="K344" s="257"/>
    </row>
    <row r="345" spans="1:11" x14ac:dyDescent="0.25">
      <c r="A345" s="268"/>
      <c r="B345" s="268"/>
      <c r="C345" s="268"/>
      <c r="D345" s="257"/>
      <c r="E345" s="257"/>
      <c r="F345" s="257"/>
      <c r="G345" s="257"/>
      <c r="H345" s="257"/>
      <c r="I345" s="257"/>
      <c r="J345" s="257"/>
      <c r="K345" s="257"/>
    </row>
    <row r="346" spans="1:11" x14ac:dyDescent="0.25">
      <c r="A346" s="268"/>
      <c r="B346" s="268"/>
      <c r="C346" s="268"/>
      <c r="D346" s="257"/>
      <c r="E346" s="257"/>
      <c r="F346" s="257"/>
      <c r="G346" s="257"/>
      <c r="H346" s="257"/>
      <c r="I346" s="257"/>
      <c r="J346" s="257"/>
      <c r="K346" s="257"/>
    </row>
    <row r="347" spans="1:11" x14ac:dyDescent="0.25">
      <c r="A347" s="268"/>
      <c r="B347" s="268"/>
      <c r="C347" s="268"/>
      <c r="D347" s="257"/>
      <c r="E347" s="257"/>
      <c r="F347" s="257"/>
      <c r="G347" s="257"/>
      <c r="H347" s="257"/>
      <c r="I347" s="257"/>
      <c r="J347" s="257"/>
      <c r="K347" s="257"/>
    </row>
    <row r="348" spans="1:11" x14ac:dyDescent="0.25">
      <c r="A348" s="268"/>
      <c r="B348" s="268"/>
      <c r="C348" s="268"/>
      <c r="D348" s="257"/>
      <c r="E348" s="257"/>
      <c r="F348" s="257"/>
      <c r="G348" s="257"/>
      <c r="H348" s="257"/>
      <c r="I348" s="257"/>
      <c r="J348" s="257"/>
      <c r="K348" s="257"/>
    </row>
    <row r="349" spans="1:11" x14ac:dyDescent="0.25">
      <c r="A349" s="268"/>
      <c r="B349" s="268"/>
      <c r="C349" s="268"/>
      <c r="D349" s="257"/>
      <c r="E349" s="257"/>
      <c r="F349" s="257"/>
      <c r="G349" s="257"/>
      <c r="H349" s="257"/>
      <c r="I349" s="257"/>
      <c r="J349" s="257"/>
      <c r="K349" s="257"/>
    </row>
    <row r="350" spans="1:11" x14ac:dyDescent="0.25">
      <c r="A350" s="268"/>
      <c r="B350" s="268"/>
      <c r="C350" s="268"/>
      <c r="D350" s="257"/>
      <c r="E350" s="257"/>
      <c r="F350" s="257"/>
      <c r="G350" s="257"/>
      <c r="H350" s="257"/>
      <c r="I350" s="257"/>
      <c r="J350" s="257"/>
      <c r="K350" s="257"/>
    </row>
    <row r="351" spans="1:11" x14ac:dyDescent="0.25">
      <c r="A351" s="268"/>
      <c r="B351" s="268"/>
      <c r="C351" s="268"/>
      <c r="D351" s="257"/>
      <c r="E351" s="257"/>
      <c r="F351" s="257"/>
      <c r="G351" s="257"/>
      <c r="H351" s="257"/>
      <c r="I351" s="257"/>
      <c r="J351" s="257"/>
      <c r="K351" s="257"/>
    </row>
    <row r="352" spans="1:11" x14ac:dyDescent="0.25">
      <c r="A352" s="268"/>
      <c r="B352" s="268"/>
      <c r="C352" s="268"/>
      <c r="D352" s="257"/>
      <c r="E352" s="257"/>
      <c r="F352" s="257"/>
      <c r="G352" s="257"/>
      <c r="H352" s="257"/>
      <c r="I352" s="257"/>
      <c r="J352" s="257"/>
      <c r="K352" s="257"/>
    </row>
    <row r="353" spans="1:11" x14ac:dyDescent="0.25">
      <c r="A353" s="268"/>
      <c r="B353" s="268"/>
      <c r="C353" s="268"/>
      <c r="D353" s="257"/>
      <c r="E353" s="257"/>
      <c r="F353" s="257"/>
      <c r="G353" s="257"/>
      <c r="H353" s="257"/>
      <c r="I353" s="257"/>
      <c r="J353" s="257"/>
      <c r="K353" s="257"/>
    </row>
    <row r="354" spans="1:11" x14ac:dyDescent="0.25">
      <c r="A354" s="268"/>
      <c r="B354" s="268"/>
      <c r="C354" s="268"/>
      <c r="D354" s="257"/>
      <c r="E354" s="257"/>
      <c r="F354" s="257"/>
      <c r="G354" s="257"/>
      <c r="H354" s="257"/>
      <c r="I354" s="257"/>
      <c r="J354" s="257"/>
      <c r="K354" s="257"/>
    </row>
    <row r="355" spans="1:11" x14ac:dyDescent="0.25">
      <c r="A355" s="268"/>
      <c r="B355" s="268"/>
      <c r="C355" s="268"/>
      <c r="D355" s="257"/>
      <c r="E355" s="257"/>
      <c r="F355" s="257"/>
      <c r="G355" s="257"/>
      <c r="H355" s="257"/>
      <c r="I355" s="257"/>
      <c r="J355" s="257"/>
      <c r="K355" s="257"/>
    </row>
    <row r="356" spans="1:11" x14ac:dyDescent="0.25">
      <c r="A356" s="268"/>
      <c r="B356" s="268"/>
      <c r="C356" s="268"/>
      <c r="D356" s="257"/>
      <c r="E356" s="257"/>
      <c r="F356" s="257"/>
      <c r="G356" s="257"/>
      <c r="H356" s="257"/>
      <c r="I356" s="257"/>
      <c r="J356" s="257"/>
      <c r="K356" s="257"/>
    </row>
    <row r="357" spans="1:11" x14ac:dyDescent="0.25">
      <c r="A357" s="268"/>
      <c r="B357" s="268"/>
      <c r="C357" s="268"/>
      <c r="D357" s="257"/>
      <c r="E357" s="257"/>
      <c r="F357" s="257"/>
      <c r="G357" s="257"/>
      <c r="H357" s="257"/>
      <c r="I357" s="257"/>
      <c r="J357" s="257"/>
      <c r="K357" s="257"/>
    </row>
    <row r="358" spans="1:11" x14ac:dyDescent="0.25">
      <c r="A358" s="268"/>
      <c r="B358" s="268"/>
      <c r="C358" s="268"/>
      <c r="D358" s="257"/>
      <c r="E358" s="257"/>
      <c r="F358" s="257"/>
      <c r="G358" s="257"/>
      <c r="H358" s="257"/>
      <c r="I358" s="257"/>
      <c r="J358" s="257"/>
      <c r="K358" s="257"/>
    </row>
    <row r="359" spans="1:11" x14ac:dyDescent="0.25">
      <c r="A359" s="268"/>
      <c r="B359" s="268"/>
      <c r="C359" s="268"/>
      <c r="D359" s="257"/>
      <c r="E359" s="257"/>
      <c r="F359" s="257"/>
      <c r="G359" s="257"/>
      <c r="H359" s="257"/>
      <c r="I359" s="257"/>
      <c r="J359" s="257"/>
      <c r="K359" s="257"/>
    </row>
    <row r="360" spans="1:11" x14ac:dyDescent="0.25">
      <c r="A360" s="268"/>
      <c r="B360" s="268"/>
      <c r="C360" s="268"/>
      <c r="D360" s="257"/>
      <c r="E360" s="257"/>
      <c r="F360" s="257"/>
      <c r="G360" s="257"/>
      <c r="H360" s="257"/>
      <c r="I360" s="257"/>
      <c r="J360" s="257"/>
      <c r="K360" s="257"/>
    </row>
    <row r="361" spans="1:11" x14ac:dyDescent="0.25">
      <c r="A361" s="268"/>
      <c r="B361" s="268"/>
      <c r="C361" s="268"/>
      <c r="D361" s="257"/>
      <c r="E361" s="257"/>
      <c r="F361" s="257"/>
      <c r="G361" s="257"/>
      <c r="H361" s="257"/>
      <c r="I361" s="257"/>
      <c r="J361" s="257"/>
      <c r="K361" s="257"/>
    </row>
    <row r="362" spans="1:11" x14ac:dyDescent="0.25">
      <c r="A362" s="268"/>
      <c r="B362" s="268"/>
      <c r="C362" s="268"/>
      <c r="D362" s="257"/>
      <c r="E362" s="257"/>
      <c r="F362" s="257"/>
      <c r="G362" s="257"/>
      <c r="H362" s="257"/>
      <c r="I362" s="257"/>
      <c r="J362" s="257"/>
      <c r="K362" s="257"/>
    </row>
    <row r="363" spans="1:11" x14ac:dyDescent="0.25">
      <c r="A363" s="268"/>
      <c r="B363" s="268"/>
      <c r="C363" s="268"/>
      <c r="D363" s="257"/>
      <c r="E363" s="257"/>
      <c r="F363" s="257"/>
      <c r="G363" s="257"/>
      <c r="H363" s="257"/>
      <c r="I363" s="257"/>
      <c r="J363" s="257"/>
      <c r="K363" s="257"/>
    </row>
    <row r="364" spans="1:11" x14ac:dyDescent="0.25">
      <c r="A364" s="268"/>
      <c r="B364" s="268"/>
      <c r="C364" s="268"/>
      <c r="D364" s="257"/>
      <c r="E364" s="257"/>
      <c r="F364" s="257"/>
      <c r="G364" s="257"/>
      <c r="H364" s="257"/>
      <c r="I364" s="257"/>
      <c r="J364" s="257"/>
      <c r="K364" s="257"/>
    </row>
    <row r="365" spans="1:11" x14ac:dyDescent="0.25">
      <c r="A365" s="268"/>
      <c r="B365" s="268"/>
      <c r="C365" s="268"/>
      <c r="D365" s="257"/>
      <c r="E365" s="257"/>
      <c r="F365" s="257"/>
      <c r="G365" s="257"/>
      <c r="H365" s="257"/>
      <c r="I365" s="257"/>
      <c r="J365" s="257"/>
      <c r="K365" s="257"/>
    </row>
    <row r="366" spans="1:11" x14ac:dyDescent="0.25">
      <c r="A366" s="268"/>
      <c r="B366" s="268"/>
      <c r="C366" s="268"/>
      <c r="D366" s="257"/>
      <c r="E366" s="257"/>
      <c r="F366" s="257"/>
      <c r="G366" s="257"/>
      <c r="H366" s="257"/>
      <c r="I366" s="257"/>
      <c r="J366" s="257"/>
      <c r="K366" s="257"/>
    </row>
    <row r="367" spans="1:11" x14ac:dyDescent="0.25">
      <c r="A367" s="268"/>
      <c r="B367" s="268"/>
      <c r="C367" s="268"/>
      <c r="D367" s="257"/>
      <c r="E367" s="257"/>
      <c r="F367" s="257"/>
      <c r="G367" s="257"/>
      <c r="H367" s="257"/>
      <c r="I367" s="257"/>
      <c r="J367" s="257"/>
      <c r="K367" s="257"/>
    </row>
    <row r="368" spans="1:11" x14ac:dyDescent="0.25">
      <c r="A368" s="268"/>
      <c r="B368" s="268"/>
      <c r="C368" s="268"/>
      <c r="D368" s="257"/>
      <c r="E368" s="257"/>
      <c r="F368" s="257"/>
      <c r="G368" s="257"/>
      <c r="H368" s="257"/>
      <c r="I368" s="257"/>
      <c r="J368" s="257"/>
      <c r="K368" s="257"/>
    </row>
    <row r="369" spans="1:11" x14ac:dyDescent="0.25">
      <c r="A369" s="268"/>
      <c r="B369" s="268"/>
      <c r="C369" s="268"/>
      <c r="D369" s="257"/>
      <c r="E369" s="257"/>
      <c r="F369" s="257"/>
      <c r="G369" s="257"/>
      <c r="H369" s="257"/>
      <c r="I369" s="257"/>
      <c r="J369" s="257"/>
      <c r="K369" s="257"/>
    </row>
    <row r="370" spans="1:11" x14ac:dyDescent="0.25">
      <c r="A370" s="268"/>
      <c r="B370" s="268"/>
      <c r="C370" s="268"/>
      <c r="D370" s="257"/>
      <c r="E370" s="257"/>
      <c r="F370" s="257"/>
      <c r="G370" s="257"/>
      <c r="H370" s="257"/>
      <c r="I370" s="257"/>
      <c r="J370" s="257"/>
      <c r="K370" s="257"/>
    </row>
    <row r="371" spans="1:11" x14ac:dyDescent="0.25">
      <c r="A371" s="268"/>
      <c r="B371" s="268"/>
      <c r="C371" s="268"/>
      <c r="D371" s="257"/>
      <c r="E371" s="257"/>
      <c r="F371" s="257"/>
      <c r="G371" s="257"/>
      <c r="H371" s="257"/>
      <c r="I371" s="257"/>
      <c r="J371" s="257"/>
      <c r="K371" s="257"/>
    </row>
    <row r="372" spans="1:11" x14ac:dyDescent="0.25">
      <c r="A372" s="268"/>
      <c r="B372" s="268"/>
      <c r="C372" s="268"/>
      <c r="D372" s="257"/>
      <c r="E372" s="257"/>
      <c r="F372" s="257"/>
      <c r="G372" s="257"/>
      <c r="H372" s="257"/>
      <c r="I372" s="257"/>
      <c r="J372" s="257"/>
      <c r="K372" s="257"/>
    </row>
    <row r="373" spans="1:11" x14ac:dyDescent="0.25">
      <c r="A373" s="268"/>
      <c r="B373" s="268"/>
      <c r="C373" s="268"/>
      <c r="D373" s="257"/>
      <c r="E373" s="257"/>
      <c r="F373" s="257"/>
      <c r="G373" s="257"/>
      <c r="H373" s="257"/>
      <c r="I373" s="257"/>
      <c r="J373" s="257"/>
      <c r="K373" s="257"/>
    </row>
    <row r="374" spans="1:11" x14ac:dyDescent="0.25">
      <c r="A374" s="268"/>
      <c r="B374" s="268"/>
      <c r="C374" s="268"/>
      <c r="D374" s="257"/>
      <c r="E374" s="257"/>
      <c r="F374" s="257"/>
      <c r="G374" s="257"/>
      <c r="H374" s="257"/>
      <c r="I374" s="257"/>
      <c r="J374" s="257"/>
      <c r="K374" s="257"/>
    </row>
    <row r="375" spans="1:11" x14ac:dyDescent="0.25">
      <c r="A375" s="268"/>
      <c r="B375" s="268"/>
      <c r="C375" s="268"/>
      <c r="D375" s="257"/>
      <c r="E375" s="257"/>
      <c r="F375" s="257"/>
      <c r="G375" s="257"/>
      <c r="H375" s="257"/>
      <c r="I375" s="257"/>
      <c r="J375" s="257"/>
      <c r="K375" s="257"/>
    </row>
    <row r="376" spans="1:11" x14ac:dyDescent="0.25">
      <c r="A376" s="268"/>
      <c r="B376" s="268"/>
      <c r="C376" s="268"/>
      <c r="D376" s="257"/>
      <c r="E376" s="257"/>
      <c r="F376" s="257"/>
      <c r="G376" s="257"/>
      <c r="H376" s="257"/>
      <c r="I376" s="257"/>
      <c r="J376" s="257"/>
      <c r="K376" s="257"/>
    </row>
    <row r="377" spans="1:11" x14ac:dyDescent="0.25">
      <c r="A377" s="268"/>
      <c r="B377" s="268"/>
      <c r="C377" s="268"/>
      <c r="D377" s="257"/>
      <c r="E377" s="257"/>
      <c r="F377" s="257"/>
      <c r="G377" s="257"/>
      <c r="H377" s="257"/>
      <c r="I377" s="257"/>
      <c r="J377" s="257"/>
      <c r="K377" s="257"/>
    </row>
    <row r="378" spans="1:11" x14ac:dyDescent="0.25">
      <c r="A378" s="268"/>
      <c r="B378" s="268"/>
      <c r="C378" s="268"/>
      <c r="D378" s="257"/>
      <c r="E378" s="257"/>
      <c r="F378" s="257"/>
      <c r="G378" s="257"/>
      <c r="H378" s="257"/>
      <c r="I378" s="257"/>
      <c r="J378" s="257"/>
      <c r="K378" s="257"/>
    </row>
    <row r="379" spans="1:11" x14ac:dyDescent="0.25">
      <c r="A379" s="268"/>
      <c r="B379" s="268"/>
      <c r="C379" s="268"/>
      <c r="D379" s="257"/>
      <c r="E379" s="257"/>
      <c r="F379" s="257"/>
      <c r="G379" s="257"/>
      <c r="H379" s="257"/>
      <c r="I379" s="257"/>
      <c r="J379" s="257"/>
      <c r="K379" s="257"/>
    </row>
    <row r="380" spans="1:11" x14ac:dyDescent="0.25">
      <c r="A380" s="268"/>
      <c r="B380" s="268"/>
      <c r="C380" s="268"/>
      <c r="D380" s="257"/>
      <c r="E380" s="257"/>
      <c r="F380" s="257"/>
      <c r="G380" s="257"/>
      <c r="H380" s="257"/>
      <c r="I380" s="257"/>
      <c r="J380" s="257"/>
      <c r="K380" s="257"/>
    </row>
    <row r="381" spans="1:11" x14ac:dyDescent="0.25">
      <c r="A381" s="268"/>
      <c r="B381" s="268"/>
      <c r="C381" s="268"/>
      <c r="D381" s="257"/>
      <c r="E381" s="257"/>
      <c r="F381" s="257"/>
      <c r="G381" s="257"/>
      <c r="H381" s="257"/>
      <c r="I381" s="257"/>
      <c r="J381" s="257"/>
      <c r="K381" s="257"/>
    </row>
    <row r="382" spans="1:11" x14ac:dyDescent="0.25">
      <c r="A382" s="268"/>
      <c r="B382" s="268"/>
      <c r="C382" s="268"/>
      <c r="D382" s="257"/>
      <c r="E382" s="257"/>
      <c r="F382" s="257"/>
      <c r="G382" s="257"/>
      <c r="H382" s="257"/>
      <c r="I382" s="257"/>
      <c r="J382" s="257"/>
      <c r="K382" s="257"/>
    </row>
    <row r="383" spans="1:11" x14ac:dyDescent="0.25">
      <c r="A383" s="268"/>
      <c r="B383" s="268"/>
      <c r="C383" s="268"/>
      <c r="D383" s="257"/>
      <c r="E383" s="257"/>
      <c r="F383" s="257"/>
      <c r="G383" s="257"/>
      <c r="H383" s="257"/>
      <c r="I383" s="257"/>
      <c r="J383" s="257"/>
      <c r="K383" s="257"/>
    </row>
    <row r="384" spans="1:11" x14ac:dyDescent="0.25">
      <c r="A384" s="268"/>
      <c r="B384" s="268"/>
      <c r="C384" s="268"/>
      <c r="D384" s="257"/>
      <c r="E384" s="257"/>
      <c r="F384" s="257"/>
      <c r="G384" s="257"/>
      <c r="H384" s="257"/>
      <c r="I384" s="257"/>
      <c r="J384" s="257"/>
      <c r="K384" s="257"/>
    </row>
    <row r="385" spans="1:11" x14ac:dyDescent="0.25">
      <c r="A385" s="268"/>
      <c r="B385" s="268"/>
      <c r="C385" s="268"/>
      <c r="D385" s="257"/>
      <c r="E385" s="257"/>
      <c r="F385" s="257"/>
      <c r="G385" s="257"/>
      <c r="H385" s="257"/>
      <c r="I385" s="257"/>
      <c r="J385" s="257"/>
      <c r="K385" s="257"/>
    </row>
    <row r="386" spans="1:11" x14ac:dyDescent="0.25">
      <c r="A386" s="268"/>
      <c r="B386" s="268"/>
      <c r="C386" s="268"/>
      <c r="D386" s="257"/>
      <c r="E386" s="257"/>
      <c r="F386" s="257"/>
      <c r="G386" s="257"/>
      <c r="H386" s="257"/>
      <c r="I386" s="257"/>
      <c r="J386" s="257"/>
      <c r="K386" s="257"/>
    </row>
    <row r="387" spans="1:11" x14ac:dyDescent="0.25">
      <c r="A387" s="268"/>
      <c r="B387" s="268"/>
      <c r="C387" s="268"/>
      <c r="D387" s="257"/>
      <c r="E387" s="257"/>
      <c r="F387" s="257"/>
      <c r="G387" s="257"/>
      <c r="H387" s="257"/>
      <c r="I387" s="257"/>
      <c r="J387" s="257"/>
      <c r="K387" s="257"/>
    </row>
    <row r="388" spans="1:11" x14ac:dyDescent="0.25">
      <c r="A388" s="268"/>
      <c r="B388" s="268"/>
      <c r="C388" s="268"/>
      <c r="D388" s="257"/>
      <c r="E388" s="257"/>
      <c r="F388" s="257"/>
      <c r="G388" s="257"/>
      <c r="H388" s="257"/>
      <c r="I388" s="257"/>
      <c r="J388" s="257"/>
      <c r="K388" s="257"/>
    </row>
    <row r="389" spans="1:11" x14ac:dyDescent="0.25">
      <c r="A389" s="268"/>
      <c r="B389" s="268"/>
      <c r="C389" s="268"/>
      <c r="D389" s="257"/>
      <c r="E389" s="257"/>
      <c r="F389" s="257"/>
      <c r="G389" s="257"/>
      <c r="H389" s="257"/>
      <c r="I389" s="257"/>
      <c r="J389" s="257"/>
      <c r="K389" s="257"/>
    </row>
    <row r="390" spans="1:11" x14ac:dyDescent="0.25">
      <c r="A390" s="268"/>
      <c r="B390" s="268"/>
      <c r="C390" s="268"/>
      <c r="D390" s="257"/>
      <c r="E390" s="257"/>
      <c r="F390" s="257"/>
      <c r="G390" s="257"/>
      <c r="H390" s="257"/>
      <c r="I390" s="257"/>
      <c r="J390" s="257"/>
      <c r="K390" s="257"/>
    </row>
    <row r="391" spans="1:11" x14ac:dyDescent="0.25">
      <c r="A391" s="268"/>
      <c r="B391" s="268"/>
      <c r="C391" s="268"/>
      <c r="D391" s="257"/>
      <c r="E391" s="257"/>
      <c r="F391" s="257"/>
      <c r="G391" s="257"/>
      <c r="H391" s="257"/>
      <c r="I391" s="257"/>
      <c r="J391" s="257"/>
      <c r="K391" s="257"/>
    </row>
    <row r="392" spans="1:11" x14ac:dyDescent="0.25">
      <c r="A392" s="268"/>
      <c r="B392" s="268"/>
      <c r="C392" s="268"/>
      <c r="D392" s="257"/>
      <c r="E392" s="257"/>
      <c r="F392" s="257"/>
      <c r="G392" s="257"/>
      <c r="H392" s="257"/>
      <c r="I392" s="257"/>
      <c r="J392" s="257"/>
      <c r="K392" s="257"/>
    </row>
    <row r="393" spans="1:11" x14ac:dyDescent="0.25">
      <c r="A393" s="268"/>
      <c r="B393" s="268"/>
      <c r="C393" s="268"/>
      <c r="D393" s="257"/>
      <c r="E393" s="257"/>
      <c r="F393" s="257"/>
      <c r="G393" s="257"/>
      <c r="H393" s="257"/>
      <c r="I393" s="257"/>
      <c r="J393" s="257"/>
      <c r="K393" s="257"/>
    </row>
    <row r="394" spans="1:11" x14ac:dyDescent="0.25">
      <c r="A394" s="268"/>
      <c r="B394" s="268"/>
      <c r="C394" s="268"/>
      <c r="D394" s="257"/>
      <c r="E394" s="257"/>
      <c r="F394" s="257"/>
      <c r="G394" s="257"/>
      <c r="H394" s="257"/>
      <c r="I394" s="257"/>
      <c r="J394" s="257"/>
      <c r="K394" s="257"/>
    </row>
    <row r="395" spans="1:11" x14ac:dyDescent="0.25">
      <c r="A395" s="268"/>
      <c r="B395" s="268"/>
      <c r="C395" s="268"/>
      <c r="D395" s="257"/>
      <c r="E395" s="257"/>
      <c r="F395" s="257"/>
      <c r="G395" s="257"/>
      <c r="H395" s="257"/>
      <c r="I395" s="257"/>
      <c r="J395" s="257"/>
      <c r="K395" s="257"/>
    </row>
    <row r="396" spans="1:11" x14ac:dyDescent="0.25">
      <c r="A396" s="268"/>
      <c r="B396" s="268"/>
      <c r="C396" s="268"/>
      <c r="D396" s="257"/>
      <c r="E396" s="257"/>
      <c r="F396" s="257"/>
      <c r="G396" s="257"/>
      <c r="H396" s="257"/>
      <c r="I396" s="257"/>
      <c r="J396" s="257"/>
      <c r="K396" s="257"/>
    </row>
    <row r="397" spans="1:11" x14ac:dyDescent="0.25">
      <c r="A397" s="268"/>
      <c r="B397" s="268"/>
      <c r="C397" s="268"/>
      <c r="D397" s="257"/>
      <c r="E397" s="257"/>
      <c r="F397" s="257"/>
      <c r="G397" s="257"/>
      <c r="H397" s="257"/>
      <c r="I397" s="257"/>
      <c r="J397" s="257"/>
      <c r="K397" s="257"/>
    </row>
    <row r="398" spans="1:11" x14ac:dyDescent="0.25">
      <c r="A398" s="268"/>
      <c r="B398" s="268"/>
      <c r="C398" s="268"/>
      <c r="D398" s="257"/>
      <c r="E398" s="257"/>
      <c r="F398" s="257"/>
      <c r="G398" s="257"/>
      <c r="H398" s="257"/>
      <c r="I398" s="257"/>
      <c r="J398" s="257"/>
      <c r="K398" s="257"/>
    </row>
    <row r="399" spans="1:11" x14ac:dyDescent="0.25">
      <c r="A399" s="268"/>
      <c r="B399" s="268"/>
      <c r="C399" s="268"/>
      <c r="D399" s="257"/>
      <c r="E399" s="257"/>
      <c r="F399" s="257"/>
      <c r="G399" s="257"/>
      <c r="H399" s="257"/>
      <c r="I399" s="257"/>
      <c r="J399" s="257"/>
      <c r="K399" s="257"/>
    </row>
    <row r="400" spans="1:11" x14ac:dyDescent="0.25">
      <c r="A400" s="268"/>
      <c r="B400" s="268"/>
      <c r="C400" s="268"/>
      <c r="D400" s="257"/>
      <c r="E400" s="257"/>
      <c r="F400" s="257"/>
      <c r="G400" s="257"/>
      <c r="H400" s="257"/>
      <c r="I400" s="257"/>
      <c r="J400" s="257"/>
      <c r="K400" s="257"/>
    </row>
    <row r="401" spans="1:11" x14ac:dyDescent="0.25">
      <c r="A401" s="268"/>
      <c r="B401" s="268"/>
      <c r="C401" s="268"/>
      <c r="D401" s="257"/>
      <c r="E401" s="257"/>
      <c r="F401" s="257"/>
      <c r="G401" s="257"/>
      <c r="H401" s="257"/>
      <c r="I401" s="257"/>
      <c r="J401" s="257"/>
      <c r="K401" s="257"/>
    </row>
    <row r="402" spans="1:11" x14ac:dyDescent="0.25">
      <c r="A402" s="268"/>
      <c r="B402" s="268"/>
      <c r="C402" s="268"/>
      <c r="D402" s="257"/>
      <c r="E402" s="257"/>
      <c r="F402" s="257"/>
      <c r="G402" s="257"/>
      <c r="H402" s="257"/>
      <c r="I402" s="257"/>
      <c r="J402" s="257"/>
      <c r="K402" s="257"/>
    </row>
    <row r="403" spans="1:11" x14ac:dyDescent="0.25">
      <c r="A403" s="268"/>
      <c r="B403" s="268"/>
      <c r="C403" s="268"/>
      <c r="D403" s="257"/>
      <c r="E403" s="257"/>
      <c r="F403" s="257"/>
      <c r="G403" s="257"/>
      <c r="H403" s="257"/>
      <c r="I403" s="257"/>
      <c r="J403" s="257"/>
      <c r="K403" s="257"/>
    </row>
    <row r="404" spans="1:11" x14ac:dyDescent="0.25">
      <c r="A404" s="268"/>
      <c r="B404" s="268"/>
      <c r="C404" s="268"/>
      <c r="D404" s="257"/>
      <c r="E404" s="257"/>
      <c r="F404" s="257"/>
      <c r="G404" s="257"/>
      <c r="H404" s="257"/>
      <c r="I404" s="257"/>
      <c r="J404" s="257"/>
      <c r="K404" s="257"/>
    </row>
    <row r="405" spans="1:11" x14ac:dyDescent="0.25">
      <c r="A405" s="268"/>
      <c r="B405" s="268"/>
      <c r="C405" s="268"/>
      <c r="D405" s="257"/>
      <c r="E405" s="257"/>
      <c r="F405" s="257"/>
      <c r="G405" s="257"/>
      <c r="H405" s="257"/>
      <c r="I405" s="257"/>
      <c r="J405" s="257"/>
      <c r="K405" s="257"/>
    </row>
    <row r="406" spans="1:11" x14ac:dyDescent="0.25">
      <c r="A406" s="268"/>
      <c r="B406" s="268"/>
      <c r="C406" s="268"/>
      <c r="D406" s="257"/>
      <c r="E406" s="257"/>
      <c r="F406" s="257"/>
      <c r="G406" s="257"/>
      <c r="H406" s="257"/>
      <c r="I406" s="257"/>
      <c r="J406" s="257"/>
      <c r="K406" s="257"/>
    </row>
    <row r="407" spans="1:11" x14ac:dyDescent="0.25">
      <c r="A407" s="268"/>
      <c r="B407" s="268"/>
      <c r="C407" s="268"/>
      <c r="D407" s="257"/>
      <c r="E407" s="257"/>
      <c r="F407" s="257"/>
      <c r="G407" s="257"/>
      <c r="H407" s="257"/>
      <c r="I407" s="257"/>
      <c r="J407" s="257"/>
      <c r="K407" s="257"/>
    </row>
    <row r="408" spans="1:11" x14ac:dyDescent="0.25">
      <c r="A408" s="268"/>
      <c r="B408" s="268"/>
      <c r="C408" s="268"/>
      <c r="D408" s="257"/>
      <c r="E408" s="257"/>
      <c r="F408" s="257"/>
      <c r="G408" s="257"/>
      <c r="H408" s="257"/>
      <c r="I408" s="257"/>
      <c r="J408" s="257"/>
      <c r="K408" s="257"/>
    </row>
    <row r="409" spans="1:11" x14ac:dyDescent="0.25">
      <c r="A409" s="268"/>
      <c r="B409" s="268"/>
      <c r="C409" s="268"/>
      <c r="D409" s="257"/>
      <c r="E409" s="257"/>
      <c r="F409" s="257"/>
      <c r="G409" s="257"/>
      <c r="H409" s="257"/>
      <c r="I409" s="257"/>
      <c r="J409" s="257"/>
      <c r="K409" s="257"/>
    </row>
    <row r="410" spans="1:11" x14ac:dyDescent="0.25">
      <c r="A410" s="268"/>
      <c r="B410" s="268"/>
      <c r="C410" s="268"/>
      <c r="D410" s="257"/>
      <c r="E410" s="257"/>
      <c r="F410" s="257"/>
      <c r="G410" s="257"/>
      <c r="H410" s="257"/>
      <c r="I410" s="257"/>
      <c r="J410" s="257"/>
      <c r="K410" s="257"/>
    </row>
    <row r="411" spans="1:11" x14ac:dyDescent="0.25">
      <c r="A411" s="268"/>
      <c r="B411" s="268"/>
      <c r="C411" s="268"/>
      <c r="D411" s="257"/>
      <c r="E411" s="257"/>
      <c r="F411" s="257"/>
      <c r="G411" s="257"/>
      <c r="H411" s="257"/>
      <c r="I411" s="257"/>
      <c r="J411" s="257"/>
      <c r="K411" s="257"/>
    </row>
    <row r="412" spans="1:11" x14ac:dyDescent="0.25">
      <c r="A412" s="268"/>
      <c r="B412" s="268"/>
      <c r="C412" s="268"/>
      <c r="D412" s="257"/>
      <c r="E412" s="257"/>
      <c r="F412" s="257"/>
      <c r="G412" s="257"/>
      <c r="H412" s="257"/>
      <c r="I412" s="257"/>
      <c r="J412" s="257"/>
      <c r="K412" s="257"/>
    </row>
    <row r="413" spans="1:11" x14ac:dyDescent="0.25">
      <c r="A413" s="268"/>
      <c r="B413" s="268"/>
      <c r="C413" s="268"/>
      <c r="D413" s="257"/>
      <c r="E413" s="257"/>
      <c r="F413" s="257"/>
      <c r="G413" s="257"/>
      <c r="H413" s="257"/>
      <c r="I413" s="257"/>
      <c r="J413" s="257"/>
      <c r="K413" s="257"/>
    </row>
    <row r="414" spans="1:11" x14ac:dyDescent="0.25">
      <c r="A414" s="268"/>
      <c r="B414" s="268"/>
      <c r="C414" s="268"/>
      <c r="D414" s="257"/>
      <c r="E414" s="257"/>
      <c r="F414" s="257"/>
      <c r="G414" s="257"/>
      <c r="H414" s="257"/>
      <c r="I414" s="257"/>
      <c r="J414" s="257"/>
      <c r="K414" s="257"/>
    </row>
    <row r="415" spans="1:11" x14ac:dyDescent="0.25">
      <c r="A415" s="268"/>
      <c r="B415" s="268"/>
      <c r="C415" s="268"/>
      <c r="D415" s="257"/>
      <c r="E415" s="257"/>
      <c r="F415" s="257"/>
      <c r="G415" s="257"/>
      <c r="H415" s="257"/>
      <c r="I415" s="257"/>
      <c r="J415" s="257"/>
      <c r="K415" s="257"/>
    </row>
    <row r="416" spans="1:11" x14ac:dyDescent="0.25">
      <c r="A416" s="268"/>
      <c r="B416" s="268"/>
      <c r="C416" s="268"/>
      <c r="D416" s="257"/>
      <c r="E416" s="257"/>
      <c r="F416" s="257"/>
      <c r="G416" s="257"/>
      <c r="H416" s="257"/>
      <c r="I416" s="257"/>
      <c r="J416" s="257"/>
      <c r="K416" s="257"/>
    </row>
    <row r="417" spans="1:11" x14ac:dyDescent="0.25">
      <c r="A417" s="268"/>
      <c r="B417" s="268"/>
      <c r="C417" s="268"/>
      <c r="D417" s="257"/>
      <c r="E417" s="257"/>
      <c r="F417" s="257"/>
      <c r="G417" s="257"/>
      <c r="H417" s="257"/>
      <c r="I417" s="257"/>
      <c r="J417" s="257"/>
      <c r="K417" s="257"/>
    </row>
    <row r="418" spans="1:11" x14ac:dyDescent="0.25">
      <c r="A418" s="268"/>
      <c r="B418" s="268"/>
      <c r="C418" s="268"/>
      <c r="D418" s="257"/>
      <c r="E418" s="257"/>
      <c r="F418" s="257"/>
      <c r="G418" s="257"/>
      <c r="H418" s="257"/>
      <c r="I418" s="257"/>
      <c r="J418" s="257"/>
      <c r="K418" s="257"/>
    </row>
    <row r="419" spans="1:11" x14ac:dyDescent="0.25">
      <c r="A419" s="268"/>
      <c r="B419" s="268"/>
      <c r="C419" s="268"/>
      <c r="D419" s="257"/>
      <c r="E419" s="257"/>
      <c r="F419" s="257"/>
      <c r="G419" s="257"/>
      <c r="H419" s="257"/>
      <c r="I419" s="257"/>
      <c r="J419" s="257"/>
      <c r="K419" s="257"/>
    </row>
    <row r="420" spans="1:11" x14ac:dyDescent="0.25">
      <c r="A420" s="268"/>
      <c r="B420" s="268"/>
      <c r="C420" s="268"/>
      <c r="D420" s="257"/>
      <c r="E420" s="257"/>
      <c r="F420" s="257"/>
      <c r="G420" s="257"/>
      <c r="H420" s="257"/>
      <c r="I420" s="257"/>
      <c r="J420" s="257"/>
      <c r="K420" s="257"/>
    </row>
    <row r="421" spans="1:11" x14ac:dyDescent="0.25">
      <c r="A421" s="268"/>
      <c r="B421" s="268"/>
      <c r="C421" s="268"/>
      <c r="D421" s="257"/>
      <c r="E421" s="257"/>
      <c r="F421" s="257"/>
      <c r="G421" s="257"/>
      <c r="H421" s="257"/>
      <c r="I421" s="257"/>
      <c r="J421" s="257"/>
      <c r="K421" s="257"/>
    </row>
    <row r="422" spans="1:11" x14ac:dyDescent="0.25">
      <c r="A422" s="268"/>
      <c r="B422" s="268"/>
      <c r="C422" s="268"/>
      <c r="D422" s="257"/>
      <c r="E422" s="257"/>
      <c r="F422" s="257"/>
      <c r="G422" s="257"/>
      <c r="H422" s="257"/>
      <c r="I422" s="257"/>
      <c r="J422" s="257"/>
      <c r="K422" s="257"/>
    </row>
    <row r="423" spans="1:11" x14ac:dyDescent="0.25">
      <c r="A423" s="268"/>
      <c r="B423" s="268"/>
      <c r="C423" s="268"/>
      <c r="D423" s="257"/>
      <c r="E423" s="257"/>
      <c r="F423" s="257"/>
      <c r="G423" s="257"/>
      <c r="H423" s="257"/>
      <c r="I423" s="257"/>
      <c r="J423" s="257"/>
      <c r="K423" s="257"/>
    </row>
    <row r="424" spans="1:11" x14ac:dyDescent="0.25">
      <c r="A424" s="268"/>
      <c r="B424" s="268"/>
      <c r="C424" s="268"/>
      <c r="D424" s="257"/>
      <c r="E424" s="257"/>
      <c r="F424" s="257"/>
      <c r="G424" s="257"/>
      <c r="H424" s="257"/>
      <c r="I424" s="257"/>
      <c r="J424" s="257"/>
      <c r="K424" s="257"/>
    </row>
    <row r="425" spans="1:11" x14ac:dyDescent="0.25">
      <c r="A425" s="268"/>
      <c r="B425" s="268"/>
      <c r="C425" s="268"/>
      <c r="D425" s="257"/>
      <c r="E425" s="257"/>
      <c r="F425" s="257"/>
      <c r="G425" s="257"/>
      <c r="H425" s="257"/>
      <c r="I425" s="257"/>
      <c r="J425" s="257"/>
      <c r="K425" s="257"/>
    </row>
    <row r="426" spans="1:11" x14ac:dyDescent="0.25">
      <c r="A426" s="268"/>
      <c r="B426" s="268"/>
      <c r="C426" s="268"/>
      <c r="D426" s="257"/>
      <c r="E426" s="257"/>
      <c r="F426" s="257"/>
      <c r="G426" s="257"/>
      <c r="H426" s="257"/>
      <c r="I426" s="257"/>
      <c r="J426" s="257"/>
      <c r="K426" s="257"/>
    </row>
    <row r="427" spans="1:11" x14ac:dyDescent="0.25">
      <c r="A427" s="268"/>
      <c r="B427" s="268"/>
      <c r="C427" s="268"/>
      <c r="D427" s="257"/>
      <c r="E427" s="257"/>
      <c r="F427" s="257"/>
      <c r="G427" s="257"/>
      <c r="H427" s="257"/>
      <c r="I427" s="257"/>
      <c r="J427" s="257"/>
      <c r="K427" s="257"/>
    </row>
    <row r="428" spans="1:11" x14ac:dyDescent="0.25">
      <c r="A428" s="268"/>
      <c r="B428" s="268"/>
      <c r="C428" s="268"/>
      <c r="D428" s="257"/>
      <c r="E428" s="257"/>
      <c r="F428" s="257"/>
      <c r="G428" s="257"/>
      <c r="H428" s="257"/>
      <c r="I428" s="257"/>
      <c r="J428" s="257"/>
      <c r="K428" s="257"/>
    </row>
    <row r="429" spans="1:11" x14ac:dyDescent="0.25">
      <c r="A429" s="268"/>
      <c r="B429" s="268"/>
      <c r="C429" s="268"/>
      <c r="D429" s="257"/>
      <c r="E429" s="257"/>
      <c r="F429" s="257"/>
      <c r="G429" s="257"/>
      <c r="H429" s="257"/>
      <c r="I429" s="257"/>
      <c r="J429" s="257"/>
      <c r="K429" s="257"/>
    </row>
    <row r="430" spans="1:11" x14ac:dyDescent="0.25">
      <c r="A430" s="268"/>
      <c r="B430" s="268"/>
      <c r="C430" s="268"/>
      <c r="D430" s="257"/>
      <c r="E430" s="257"/>
      <c r="F430" s="257"/>
      <c r="G430" s="257"/>
      <c r="H430" s="257"/>
      <c r="I430" s="257"/>
      <c r="J430" s="257"/>
      <c r="K430" s="257"/>
    </row>
    <row r="431" spans="1:11" x14ac:dyDescent="0.25">
      <c r="A431" s="268"/>
      <c r="B431" s="268"/>
      <c r="C431" s="268"/>
      <c r="D431" s="257"/>
      <c r="E431" s="257"/>
      <c r="F431" s="257"/>
      <c r="G431" s="257"/>
      <c r="H431" s="257"/>
      <c r="I431" s="257"/>
      <c r="J431" s="257"/>
      <c r="K431" s="257"/>
    </row>
    <row r="432" spans="1:11" x14ac:dyDescent="0.25">
      <c r="A432" s="268"/>
      <c r="B432" s="268"/>
      <c r="C432" s="268"/>
      <c r="D432" s="257"/>
      <c r="E432" s="257"/>
      <c r="F432" s="257"/>
      <c r="G432" s="257"/>
      <c r="H432" s="257"/>
      <c r="I432" s="257"/>
      <c r="J432" s="257"/>
      <c r="K432" s="257"/>
    </row>
    <row r="433" spans="1:11" x14ac:dyDescent="0.25">
      <c r="A433" s="268"/>
      <c r="B433" s="268"/>
      <c r="C433" s="268"/>
      <c r="D433" s="257"/>
      <c r="E433" s="257"/>
      <c r="F433" s="257"/>
      <c r="G433" s="257"/>
      <c r="H433" s="257"/>
      <c r="I433" s="257"/>
      <c r="J433" s="257"/>
      <c r="K433" s="257"/>
    </row>
    <row r="434" spans="1:11" x14ac:dyDescent="0.25">
      <c r="A434" s="268"/>
      <c r="B434" s="268"/>
      <c r="C434" s="268"/>
      <c r="D434" s="257"/>
      <c r="E434" s="257"/>
      <c r="F434" s="257"/>
      <c r="G434" s="257"/>
      <c r="H434" s="257"/>
      <c r="I434" s="257"/>
      <c r="J434" s="257"/>
      <c r="K434" s="257"/>
    </row>
    <row r="435" spans="1:11" x14ac:dyDescent="0.25">
      <c r="A435" s="268"/>
      <c r="B435" s="268"/>
      <c r="C435" s="268"/>
      <c r="D435" s="257"/>
      <c r="E435" s="257"/>
      <c r="F435" s="257"/>
      <c r="G435" s="257"/>
      <c r="H435" s="257"/>
      <c r="I435" s="257"/>
      <c r="J435" s="257"/>
      <c r="K435" s="257"/>
    </row>
    <row r="436" spans="1:11" x14ac:dyDescent="0.25">
      <c r="A436" s="268"/>
      <c r="B436" s="268"/>
      <c r="C436" s="268"/>
      <c r="D436" s="257"/>
      <c r="E436" s="257"/>
      <c r="F436" s="257"/>
      <c r="G436" s="257"/>
      <c r="H436" s="257"/>
      <c r="I436" s="257"/>
      <c r="J436" s="257"/>
      <c r="K436" s="257"/>
    </row>
    <row r="437" spans="1:11" x14ac:dyDescent="0.25">
      <c r="A437" s="268"/>
      <c r="B437" s="268"/>
      <c r="C437" s="268"/>
      <c r="D437" s="257"/>
      <c r="E437" s="257"/>
      <c r="F437" s="257"/>
      <c r="G437" s="257"/>
      <c r="H437" s="257"/>
      <c r="I437" s="257"/>
      <c r="J437" s="257"/>
      <c r="K437" s="257"/>
    </row>
    <row r="438" spans="1:11" x14ac:dyDescent="0.25">
      <c r="A438" s="268"/>
      <c r="B438" s="268"/>
      <c r="C438" s="268"/>
      <c r="D438" s="257"/>
      <c r="E438" s="257"/>
      <c r="F438" s="257"/>
      <c r="G438" s="257"/>
      <c r="H438" s="257"/>
      <c r="I438" s="257"/>
      <c r="J438" s="257"/>
      <c r="K438" s="257"/>
    </row>
    <row r="439" spans="1:11" x14ac:dyDescent="0.25">
      <c r="A439" s="268"/>
      <c r="B439" s="268"/>
      <c r="C439" s="268"/>
      <c r="D439" s="257"/>
      <c r="E439" s="257"/>
      <c r="F439" s="257"/>
      <c r="G439" s="257"/>
      <c r="H439" s="257"/>
      <c r="I439" s="257"/>
      <c r="J439" s="257"/>
      <c r="K439" s="257"/>
    </row>
    <row r="440" spans="1:11" x14ac:dyDescent="0.25">
      <c r="A440" s="268"/>
      <c r="B440" s="268"/>
      <c r="C440" s="268"/>
      <c r="D440" s="257"/>
      <c r="E440" s="257"/>
      <c r="F440" s="257"/>
      <c r="G440" s="257"/>
      <c r="H440" s="257"/>
      <c r="I440" s="257"/>
      <c r="J440" s="257"/>
      <c r="K440" s="257"/>
    </row>
    <row r="441" spans="1:11" x14ac:dyDescent="0.25">
      <c r="A441" s="268"/>
      <c r="B441" s="268"/>
      <c r="C441" s="268"/>
      <c r="D441" s="257"/>
      <c r="E441" s="257"/>
      <c r="F441" s="257"/>
      <c r="G441" s="257"/>
      <c r="H441" s="257"/>
      <c r="I441" s="257"/>
      <c r="J441" s="257"/>
      <c r="K441" s="257"/>
    </row>
    <row r="442" spans="1:11" x14ac:dyDescent="0.25">
      <c r="A442" s="268"/>
      <c r="B442" s="268"/>
      <c r="C442" s="268"/>
      <c r="D442" s="257"/>
      <c r="E442" s="257"/>
      <c r="F442" s="257"/>
      <c r="G442" s="257"/>
      <c r="H442" s="257"/>
      <c r="I442" s="257"/>
      <c r="J442" s="257"/>
      <c r="K442" s="257"/>
    </row>
    <row r="443" spans="1:11" x14ac:dyDescent="0.25">
      <c r="A443" s="268"/>
      <c r="B443" s="268"/>
      <c r="C443" s="268"/>
      <c r="D443" s="257"/>
      <c r="E443" s="257"/>
      <c r="F443" s="257"/>
      <c r="G443" s="257"/>
      <c r="H443" s="257"/>
      <c r="I443" s="257"/>
      <c r="J443" s="257"/>
      <c r="K443" s="257"/>
    </row>
    <row r="444" spans="1:11" x14ac:dyDescent="0.25">
      <c r="A444" s="268"/>
      <c r="B444" s="268"/>
      <c r="C444" s="268"/>
      <c r="D444" s="257"/>
      <c r="E444" s="257"/>
      <c r="F444" s="257"/>
      <c r="G444" s="257"/>
      <c r="H444" s="257"/>
      <c r="I444" s="257"/>
      <c r="J444" s="257"/>
      <c r="K444" s="257"/>
    </row>
    <row r="445" spans="1:11" x14ac:dyDescent="0.25">
      <c r="A445" s="268"/>
      <c r="B445" s="268"/>
      <c r="C445" s="268"/>
      <c r="D445" s="257"/>
      <c r="E445" s="257"/>
      <c r="F445" s="257"/>
      <c r="G445" s="257"/>
      <c r="H445" s="257"/>
      <c r="I445" s="257"/>
      <c r="J445" s="257"/>
      <c r="K445" s="257"/>
    </row>
    <row r="446" spans="1:11" x14ac:dyDescent="0.25">
      <c r="A446" s="268"/>
      <c r="B446" s="268"/>
      <c r="C446" s="268"/>
      <c r="D446" s="257"/>
      <c r="E446" s="257"/>
      <c r="F446" s="257"/>
      <c r="G446" s="257"/>
      <c r="H446" s="257"/>
      <c r="I446" s="257"/>
      <c r="J446" s="257"/>
      <c r="K446" s="257"/>
    </row>
    <row r="447" spans="1:11" x14ac:dyDescent="0.25">
      <c r="A447" s="268"/>
      <c r="B447" s="268"/>
      <c r="C447" s="268"/>
      <c r="D447" s="257"/>
      <c r="E447" s="257"/>
      <c r="F447" s="257"/>
      <c r="G447" s="257"/>
      <c r="H447" s="257"/>
      <c r="I447" s="257"/>
      <c r="J447" s="257"/>
      <c r="K447" s="257"/>
    </row>
    <row r="448" spans="1:11" x14ac:dyDescent="0.25">
      <c r="A448" s="268"/>
      <c r="B448" s="268"/>
      <c r="C448" s="268"/>
      <c r="D448" s="257"/>
      <c r="E448" s="257"/>
      <c r="F448" s="257"/>
      <c r="G448" s="257"/>
      <c r="H448" s="257"/>
      <c r="I448" s="257"/>
      <c r="J448" s="257"/>
      <c r="K448" s="257"/>
    </row>
    <row r="449" spans="1:11" x14ac:dyDescent="0.25">
      <c r="A449" s="268"/>
      <c r="B449" s="268"/>
      <c r="C449" s="268"/>
      <c r="D449" s="257"/>
      <c r="E449" s="257"/>
      <c r="F449" s="257"/>
      <c r="G449" s="257"/>
      <c r="H449" s="257"/>
      <c r="I449" s="257"/>
      <c r="J449" s="257"/>
      <c r="K449" s="257"/>
    </row>
    <row r="450" spans="1:11" x14ac:dyDescent="0.25">
      <c r="A450" s="268"/>
      <c r="B450" s="268"/>
      <c r="C450" s="268"/>
      <c r="D450" s="257"/>
      <c r="E450" s="257"/>
      <c r="F450" s="257"/>
      <c r="G450" s="257"/>
      <c r="H450" s="257"/>
      <c r="I450" s="257"/>
      <c r="J450" s="257"/>
      <c r="K450" s="257"/>
    </row>
    <row r="451" spans="1:11" x14ac:dyDescent="0.25">
      <c r="A451" s="268"/>
      <c r="B451" s="268"/>
      <c r="C451" s="268"/>
      <c r="D451" s="257"/>
      <c r="E451" s="257"/>
      <c r="F451" s="257"/>
      <c r="G451" s="257"/>
      <c r="H451" s="257"/>
      <c r="I451" s="257"/>
      <c r="J451" s="257"/>
      <c r="K451" s="257"/>
    </row>
    <row r="452" spans="1:11" x14ac:dyDescent="0.25">
      <c r="A452" s="268"/>
      <c r="B452" s="268"/>
      <c r="C452" s="268"/>
      <c r="D452" s="257"/>
      <c r="E452" s="257"/>
      <c r="F452" s="257"/>
      <c r="G452" s="257"/>
      <c r="H452" s="257"/>
      <c r="I452" s="257"/>
      <c r="J452" s="257"/>
      <c r="K452" s="257"/>
    </row>
    <row r="453" spans="1:11" x14ac:dyDescent="0.25">
      <c r="A453" s="268"/>
      <c r="B453" s="268"/>
      <c r="C453" s="268"/>
      <c r="D453" s="257"/>
      <c r="E453" s="257"/>
      <c r="F453" s="257"/>
      <c r="G453" s="257"/>
      <c r="H453" s="257"/>
      <c r="I453" s="257"/>
      <c r="J453" s="257"/>
      <c r="K453" s="257"/>
    </row>
    <row r="454" spans="1:11" x14ac:dyDescent="0.25">
      <c r="A454" s="268"/>
      <c r="B454" s="268"/>
      <c r="C454" s="268"/>
      <c r="D454" s="257"/>
      <c r="E454" s="257"/>
      <c r="F454" s="257"/>
      <c r="G454" s="257"/>
      <c r="H454" s="257"/>
      <c r="I454" s="257"/>
      <c r="J454" s="257"/>
      <c r="K454" s="257"/>
    </row>
    <row r="455" spans="1:11" x14ac:dyDescent="0.25">
      <c r="A455" s="268"/>
      <c r="B455" s="268"/>
      <c r="C455" s="268"/>
      <c r="D455" s="257"/>
      <c r="E455" s="257"/>
      <c r="F455" s="257"/>
      <c r="G455" s="257"/>
      <c r="H455" s="257"/>
      <c r="I455" s="257"/>
      <c r="J455" s="257"/>
      <c r="K455" s="257"/>
    </row>
    <row r="456" spans="1:11" x14ac:dyDescent="0.25">
      <c r="A456" s="268"/>
      <c r="B456" s="268"/>
      <c r="C456" s="268"/>
      <c r="D456" s="257"/>
      <c r="E456" s="257"/>
      <c r="F456" s="257"/>
      <c r="G456" s="257"/>
      <c r="H456" s="257"/>
      <c r="I456" s="257"/>
      <c r="J456" s="257"/>
      <c r="K456" s="257"/>
    </row>
    <row r="457" spans="1:11" x14ac:dyDescent="0.25">
      <c r="A457" s="268"/>
      <c r="B457" s="268"/>
      <c r="C457" s="268"/>
      <c r="D457" s="257"/>
      <c r="E457" s="257"/>
      <c r="F457" s="257"/>
      <c r="G457" s="257"/>
      <c r="H457" s="257"/>
      <c r="I457" s="257"/>
      <c r="J457" s="257"/>
      <c r="K457" s="257"/>
    </row>
    <row r="458" spans="1:11" x14ac:dyDescent="0.25">
      <c r="A458" s="268"/>
      <c r="B458" s="268"/>
      <c r="C458" s="268"/>
      <c r="D458" s="257"/>
      <c r="E458" s="257"/>
      <c r="F458" s="257"/>
      <c r="G458" s="257"/>
      <c r="H458" s="257"/>
      <c r="I458" s="257"/>
      <c r="J458" s="257"/>
      <c r="K458" s="257"/>
    </row>
    <row r="459" spans="1:11" x14ac:dyDescent="0.25">
      <c r="A459" s="268"/>
      <c r="B459" s="268"/>
      <c r="C459" s="268"/>
      <c r="D459" s="257"/>
      <c r="E459" s="257"/>
      <c r="F459" s="257"/>
      <c r="G459" s="257"/>
      <c r="H459" s="257"/>
      <c r="I459" s="257"/>
      <c r="J459" s="257"/>
      <c r="K459" s="257"/>
    </row>
    <row r="460" spans="1:11" x14ac:dyDescent="0.25">
      <c r="A460" s="268"/>
      <c r="B460" s="268"/>
      <c r="C460" s="268"/>
      <c r="D460" s="257"/>
      <c r="E460" s="257"/>
      <c r="F460" s="257"/>
      <c r="G460" s="257"/>
      <c r="H460" s="257"/>
      <c r="I460" s="257"/>
      <c r="J460" s="257"/>
      <c r="K460" s="257"/>
    </row>
    <row r="461" spans="1:11" x14ac:dyDescent="0.25">
      <c r="A461" s="268"/>
      <c r="B461" s="268"/>
      <c r="C461" s="268"/>
      <c r="D461" s="257"/>
      <c r="E461" s="257"/>
      <c r="F461" s="257"/>
      <c r="G461" s="257"/>
      <c r="H461" s="257"/>
      <c r="I461" s="257"/>
      <c r="J461" s="257"/>
      <c r="K461" s="257"/>
    </row>
    <row r="462" spans="1:11" x14ac:dyDescent="0.25">
      <c r="A462" s="268"/>
      <c r="B462" s="268"/>
      <c r="C462" s="268"/>
      <c r="D462" s="257"/>
      <c r="E462" s="257"/>
      <c r="F462" s="257"/>
      <c r="G462" s="257"/>
      <c r="H462" s="257"/>
      <c r="I462" s="257"/>
      <c r="J462" s="257"/>
      <c r="K462" s="257"/>
    </row>
    <row r="463" spans="1:11" x14ac:dyDescent="0.25">
      <c r="A463" s="268"/>
      <c r="B463" s="268"/>
      <c r="C463" s="268"/>
      <c r="D463" s="257"/>
      <c r="E463" s="257"/>
      <c r="F463" s="257"/>
      <c r="G463" s="257"/>
      <c r="H463" s="257"/>
      <c r="I463" s="257"/>
      <c r="J463" s="257"/>
      <c r="K463" s="257"/>
    </row>
    <row r="464" spans="1:11" x14ac:dyDescent="0.25">
      <c r="A464" s="268"/>
      <c r="B464" s="268"/>
      <c r="C464" s="268"/>
      <c r="D464" s="257"/>
      <c r="E464" s="257"/>
      <c r="F464" s="257"/>
      <c r="G464" s="257"/>
      <c r="H464" s="257"/>
      <c r="I464" s="257"/>
      <c r="J464" s="257"/>
      <c r="K464" s="257"/>
    </row>
    <row r="465" spans="1:11" x14ac:dyDescent="0.25">
      <c r="A465" s="268"/>
      <c r="B465" s="268"/>
      <c r="C465" s="268"/>
      <c r="D465" s="257"/>
      <c r="E465" s="257"/>
      <c r="F465" s="257"/>
      <c r="G465" s="257"/>
      <c r="H465" s="257"/>
      <c r="I465" s="257"/>
      <c r="J465" s="257"/>
      <c r="K465" s="257"/>
    </row>
    <row r="466" spans="1:11" x14ac:dyDescent="0.25">
      <c r="A466" s="268"/>
      <c r="B466" s="268"/>
      <c r="C466" s="268"/>
      <c r="D466" s="257"/>
      <c r="E466" s="257"/>
      <c r="F466" s="257"/>
      <c r="G466" s="257"/>
      <c r="H466" s="257"/>
      <c r="I466" s="257"/>
      <c r="J466" s="257"/>
      <c r="K466" s="257"/>
    </row>
    <row r="467" spans="1:11" x14ac:dyDescent="0.25">
      <c r="A467" s="268"/>
      <c r="B467" s="268"/>
      <c r="C467" s="268"/>
      <c r="D467" s="257"/>
      <c r="E467" s="257"/>
      <c r="F467" s="257"/>
      <c r="G467" s="257"/>
      <c r="H467" s="257"/>
      <c r="I467" s="257"/>
      <c r="J467" s="257"/>
      <c r="K467" s="257"/>
    </row>
    <row r="468" spans="1:11" x14ac:dyDescent="0.25">
      <c r="A468" s="268"/>
      <c r="B468" s="268"/>
      <c r="C468" s="268"/>
      <c r="D468" s="257"/>
      <c r="E468" s="257"/>
      <c r="F468" s="257"/>
      <c r="G468" s="257"/>
      <c r="H468" s="257"/>
      <c r="I468" s="257"/>
      <c r="J468" s="257"/>
      <c r="K468" s="257"/>
    </row>
    <row r="469" spans="1:11" x14ac:dyDescent="0.25">
      <c r="A469" s="268"/>
      <c r="B469" s="268"/>
      <c r="C469" s="268"/>
      <c r="D469" s="257"/>
      <c r="E469" s="257"/>
      <c r="F469" s="257"/>
      <c r="G469" s="257"/>
      <c r="H469" s="257"/>
      <c r="I469" s="257"/>
      <c r="J469" s="257"/>
      <c r="K469" s="257"/>
    </row>
    <row r="470" spans="1:11" x14ac:dyDescent="0.25">
      <c r="A470" s="268"/>
      <c r="B470" s="268"/>
      <c r="C470" s="268"/>
      <c r="D470" s="257"/>
      <c r="E470" s="257"/>
      <c r="F470" s="257"/>
      <c r="G470" s="257"/>
      <c r="H470" s="257"/>
      <c r="I470" s="257"/>
      <c r="J470" s="257"/>
      <c r="K470" s="257"/>
    </row>
    <row r="471" spans="1:11" x14ac:dyDescent="0.25">
      <c r="A471" s="268"/>
      <c r="B471" s="268"/>
      <c r="C471" s="268"/>
      <c r="D471" s="257"/>
      <c r="E471" s="257"/>
      <c r="F471" s="257"/>
      <c r="G471" s="257"/>
      <c r="H471" s="257"/>
      <c r="I471" s="257"/>
      <c r="J471" s="257"/>
      <c r="K471" s="257"/>
    </row>
    <row r="472" spans="1:11" x14ac:dyDescent="0.25">
      <c r="A472" s="268"/>
      <c r="B472" s="268"/>
      <c r="C472" s="268"/>
      <c r="D472" s="257"/>
      <c r="E472" s="257"/>
      <c r="F472" s="257"/>
      <c r="G472" s="257"/>
      <c r="H472" s="257"/>
      <c r="I472" s="257"/>
      <c r="J472" s="257"/>
      <c r="K472" s="257"/>
    </row>
    <row r="473" spans="1:11" x14ac:dyDescent="0.25">
      <c r="A473" s="268"/>
      <c r="B473" s="268"/>
      <c r="C473" s="268"/>
      <c r="D473" s="257"/>
      <c r="E473" s="257"/>
      <c r="F473" s="257"/>
      <c r="G473" s="257"/>
      <c r="H473" s="257"/>
      <c r="I473" s="257"/>
      <c r="J473" s="257"/>
      <c r="K473" s="257"/>
    </row>
    <row r="474" spans="1:11" x14ac:dyDescent="0.25">
      <c r="A474" s="268"/>
      <c r="B474" s="268"/>
      <c r="C474" s="268"/>
      <c r="D474" s="257"/>
      <c r="E474" s="257"/>
      <c r="F474" s="257"/>
      <c r="G474" s="257"/>
      <c r="H474" s="257"/>
      <c r="I474" s="257"/>
      <c r="J474" s="257"/>
      <c r="K474" s="257"/>
    </row>
    <row r="475" spans="1:11" x14ac:dyDescent="0.25">
      <c r="A475" s="268"/>
      <c r="B475" s="268"/>
      <c r="C475" s="268"/>
      <c r="D475" s="257"/>
      <c r="E475" s="257"/>
      <c r="F475" s="257"/>
      <c r="G475" s="257"/>
      <c r="H475" s="257"/>
      <c r="I475" s="257"/>
      <c r="J475" s="257"/>
      <c r="K475" s="257"/>
    </row>
    <row r="476" spans="1:11" x14ac:dyDescent="0.25">
      <c r="A476" s="268"/>
      <c r="B476" s="268"/>
      <c r="C476" s="268"/>
      <c r="D476" s="257"/>
      <c r="E476" s="257"/>
      <c r="F476" s="257"/>
      <c r="G476" s="257"/>
      <c r="H476" s="257"/>
      <c r="I476" s="257"/>
      <c r="J476" s="257"/>
      <c r="K476" s="257"/>
    </row>
    <row r="477" spans="1:11" x14ac:dyDescent="0.25">
      <c r="A477" s="268"/>
      <c r="B477" s="268"/>
      <c r="C477" s="268"/>
      <c r="D477" s="257"/>
      <c r="E477" s="257"/>
      <c r="F477" s="257"/>
      <c r="G477" s="257"/>
      <c r="H477" s="257"/>
      <c r="I477" s="257"/>
      <c r="J477" s="257"/>
      <c r="K477" s="257"/>
    </row>
    <row r="478" spans="1:11" x14ac:dyDescent="0.25">
      <c r="A478" s="268"/>
      <c r="B478" s="268"/>
      <c r="C478" s="268"/>
      <c r="D478" s="257"/>
      <c r="E478" s="257"/>
      <c r="F478" s="257"/>
      <c r="G478" s="257"/>
      <c r="H478" s="257"/>
      <c r="I478" s="257"/>
      <c r="J478" s="257"/>
      <c r="K478" s="257"/>
    </row>
    <row r="479" spans="1:11" x14ac:dyDescent="0.25">
      <c r="A479" s="268"/>
      <c r="B479" s="268"/>
      <c r="C479" s="268"/>
      <c r="D479" s="257"/>
      <c r="E479" s="257"/>
      <c r="F479" s="257"/>
      <c r="G479" s="257"/>
      <c r="H479" s="257"/>
      <c r="I479" s="257"/>
      <c r="J479" s="257"/>
      <c r="K479" s="257"/>
    </row>
    <row r="480" spans="1:11" x14ac:dyDescent="0.25">
      <c r="A480" s="268"/>
      <c r="B480" s="268"/>
      <c r="C480" s="268"/>
      <c r="D480" s="257"/>
      <c r="E480" s="257"/>
      <c r="F480" s="257"/>
      <c r="G480" s="257"/>
      <c r="H480" s="257"/>
      <c r="I480" s="257"/>
      <c r="J480" s="257"/>
      <c r="K480" s="257"/>
    </row>
    <row r="481" spans="1:11" x14ac:dyDescent="0.25">
      <c r="A481" s="268"/>
      <c r="B481" s="268"/>
      <c r="C481" s="268"/>
      <c r="D481" s="257"/>
      <c r="E481" s="257"/>
      <c r="F481" s="257"/>
      <c r="G481" s="257"/>
      <c r="H481" s="257"/>
      <c r="I481" s="257"/>
      <c r="J481" s="257"/>
      <c r="K481" s="257"/>
    </row>
    <row r="482" spans="1:11" x14ac:dyDescent="0.25">
      <c r="A482" s="268"/>
      <c r="B482" s="268"/>
      <c r="C482" s="268"/>
      <c r="D482" s="257"/>
      <c r="E482" s="257"/>
      <c r="F482" s="257"/>
      <c r="G482" s="257"/>
      <c r="H482" s="257"/>
      <c r="I482" s="257"/>
      <c r="J482" s="257"/>
      <c r="K482" s="257"/>
    </row>
    <row r="483" spans="1:11" x14ac:dyDescent="0.25">
      <c r="A483" s="268"/>
      <c r="B483" s="268"/>
      <c r="C483" s="268"/>
      <c r="D483" s="257"/>
      <c r="E483" s="257"/>
      <c r="F483" s="257"/>
      <c r="G483" s="257"/>
      <c r="H483" s="257"/>
      <c r="I483" s="257"/>
      <c r="J483" s="257"/>
      <c r="K483" s="257"/>
    </row>
    <row r="484" spans="1:11" x14ac:dyDescent="0.25">
      <c r="A484" s="268"/>
      <c r="B484" s="268"/>
      <c r="C484" s="268"/>
      <c r="D484" s="257"/>
      <c r="E484" s="257"/>
      <c r="F484" s="257"/>
      <c r="G484" s="257"/>
      <c r="H484" s="257"/>
      <c r="I484" s="257"/>
      <c r="J484" s="257"/>
      <c r="K484" s="257"/>
    </row>
    <row r="485" spans="1:11" x14ac:dyDescent="0.25">
      <c r="A485" s="268"/>
      <c r="B485" s="268"/>
      <c r="C485" s="268"/>
      <c r="D485" s="257"/>
      <c r="E485" s="257"/>
      <c r="F485" s="257"/>
      <c r="G485" s="257"/>
      <c r="H485" s="257"/>
      <c r="I485" s="257"/>
      <c r="J485" s="257"/>
      <c r="K485" s="257"/>
    </row>
    <row r="486" spans="1:11" x14ac:dyDescent="0.25">
      <c r="A486" s="268"/>
      <c r="B486" s="268"/>
      <c r="C486" s="268"/>
      <c r="D486" s="257"/>
      <c r="E486" s="257"/>
      <c r="F486" s="257"/>
      <c r="G486" s="257"/>
      <c r="H486" s="257"/>
      <c r="I486" s="257"/>
      <c r="J486" s="257"/>
      <c r="K486" s="257"/>
    </row>
    <row r="487" spans="1:11" x14ac:dyDescent="0.25">
      <c r="A487" s="268"/>
      <c r="B487" s="268"/>
      <c r="C487" s="268"/>
      <c r="D487" s="257"/>
      <c r="E487" s="257"/>
      <c r="F487" s="257"/>
      <c r="G487" s="257"/>
      <c r="H487" s="257"/>
      <c r="I487" s="257"/>
      <c r="J487" s="257"/>
      <c r="K487" s="257"/>
    </row>
    <row r="488" spans="1:11" x14ac:dyDescent="0.25">
      <c r="A488" s="268"/>
      <c r="B488" s="268"/>
      <c r="C488" s="268"/>
      <c r="D488" s="257"/>
      <c r="E488" s="257"/>
      <c r="F488" s="257"/>
      <c r="G488" s="257"/>
      <c r="H488" s="257"/>
      <c r="I488" s="257"/>
      <c r="J488" s="257"/>
      <c r="K488" s="257"/>
    </row>
    <row r="489" spans="1:11" x14ac:dyDescent="0.25">
      <c r="A489" s="268"/>
      <c r="B489" s="268"/>
      <c r="C489" s="268"/>
      <c r="D489" s="257"/>
      <c r="E489" s="257"/>
      <c r="F489" s="257"/>
      <c r="G489" s="257"/>
      <c r="H489" s="257"/>
      <c r="I489" s="257"/>
      <c r="J489" s="257"/>
      <c r="K489" s="257"/>
    </row>
    <row r="490" spans="1:11" x14ac:dyDescent="0.25">
      <c r="A490" s="268"/>
      <c r="B490" s="268"/>
      <c r="C490" s="268"/>
      <c r="D490" s="257"/>
      <c r="E490" s="257"/>
      <c r="F490" s="257"/>
      <c r="G490" s="257"/>
      <c r="H490" s="257"/>
      <c r="I490" s="257"/>
      <c r="J490" s="257"/>
      <c r="K490" s="257"/>
    </row>
    <row r="491" spans="1:11" x14ac:dyDescent="0.25">
      <c r="A491" s="268"/>
      <c r="B491" s="268"/>
      <c r="C491" s="268"/>
      <c r="D491" s="257"/>
      <c r="E491" s="257"/>
      <c r="F491" s="257"/>
      <c r="G491" s="257"/>
      <c r="H491" s="257"/>
      <c r="I491" s="257"/>
      <c r="J491" s="257"/>
      <c r="K491" s="257"/>
    </row>
    <row r="492" spans="1:11" x14ac:dyDescent="0.25">
      <c r="A492" s="268"/>
      <c r="B492" s="268"/>
      <c r="C492" s="268"/>
      <c r="D492" s="257"/>
      <c r="E492" s="257"/>
      <c r="F492" s="257"/>
      <c r="G492" s="257"/>
      <c r="H492" s="257"/>
      <c r="I492" s="257"/>
      <c r="J492" s="257"/>
      <c r="K492" s="257"/>
    </row>
    <row r="493" spans="1:11" x14ac:dyDescent="0.25">
      <c r="A493" s="268"/>
      <c r="B493" s="268"/>
      <c r="C493" s="268"/>
      <c r="D493" s="257"/>
      <c r="E493" s="257"/>
      <c r="F493" s="257"/>
      <c r="G493" s="257"/>
      <c r="H493" s="257"/>
      <c r="I493" s="257"/>
      <c r="J493" s="257"/>
      <c r="K493" s="257"/>
    </row>
    <row r="494" spans="1:11" x14ac:dyDescent="0.25">
      <c r="A494" s="268"/>
      <c r="B494" s="268"/>
      <c r="C494" s="268"/>
      <c r="D494" s="257"/>
      <c r="E494" s="257"/>
      <c r="F494" s="257"/>
      <c r="G494" s="257"/>
      <c r="H494" s="257"/>
      <c r="I494" s="257"/>
      <c r="J494" s="257"/>
      <c r="K494" s="257"/>
    </row>
    <row r="495" spans="1:11" x14ac:dyDescent="0.25">
      <c r="A495" s="268"/>
      <c r="B495" s="268"/>
      <c r="C495" s="268"/>
      <c r="D495" s="257"/>
      <c r="E495" s="257"/>
      <c r="F495" s="257"/>
      <c r="G495" s="257"/>
      <c r="H495" s="257"/>
      <c r="I495" s="257"/>
      <c r="J495" s="257"/>
      <c r="K495" s="257"/>
    </row>
    <row r="496" spans="1:11" x14ac:dyDescent="0.25">
      <c r="A496" s="268"/>
      <c r="B496" s="268"/>
      <c r="C496" s="268"/>
      <c r="D496" s="257"/>
      <c r="E496" s="257"/>
      <c r="F496" s="257"/>
      <c r="G496" s="257"/>
      <c r="H496" s="257"/>
      <c r="I496" s="257"/>
      <c r="J496" s="257"/>
      <c r="K496" s="257"/>
    </row>
    <row r="497" spans="1:11" x14ac:dyDescent="0.25">
      <c r="A497" s="268"/>
      <c r="B497" s="268"/>
      <c r="C497" s="268"/>
      <c r="D497" s="257"/>
      <c r="E497" s="257"/>
      <c r="F497" s="257"/>
      <c r="G497" s="257"/>
      <c r="H497" s="257"/>
      <c r="I497" s="257"/>
      <c r="J497" s="257"/>
      <c r="K497" s="257"/>
    </row>
    <row r="498" spans="1:11" x14ac:dyDescent="0.25">
      <c r="A498" s="268"/>
      <c r="B498" s="268"/>
      <c r="C498" s="268"/>
      <c r="D498" s="257"/>
      <c r="E498" s="257"/>
      <c r="F498" s="257"/>
      <c r="G498" s="257"/>
      <c r="H498" s="257"/>
      <c r="I498" s="257"/>
      <c r="J498" s="257"/>
      <c r="K498" s="257"/>
    </row>
    <row r="499" spans="1:11" x14ac:dyDescent="0.25">
      <c r="A499" s="268"/>
      <c r="B499" s="268"/>
      <c r="C499" s="268"/>
      <c r="D499" s="257"/>
      <c r="E499" s="257"/>
      <c r="F499" s="257"/>
      <c r="G499" s="257"/>
      <c r="H499" s="257"/>
      <c r="I499" s="257"/>
      <c r="J499" s="257"/>
      <c r="K499" s="257"/>
    </row>
    <row r="500" spans="1:11" x14ac:dyDescent="0.25">
      <c r="A500" s="268"/>
      <c r="B500" s="268"/>
      <c r="C500" s="268"/>
      <c r="D500" s="257"/>
      <c r="E500" s="257"/>
      <c r="F500" s="257"/>
      <c r="G500" s="257"/>
      <c r="H500" s="257"/>
      <c r="I500" s="257"/>
      <c r="J500" s="257"/>
      <c r="K500" s="257"/>
    </row>
    <row r="501" spans="1:11" x14ac:dyDescent="0.25">
      <c r="A501" s="268"/>
      <c r="B501" s="268"/>
      <c r="C501" s="268"/>
      <c r="D501" s="257"/>
      <c r="E501" s="257"/>
      <c r="F501" s="257"/>
      <c r="G501" s="257"/>
      <c r="H501" s="257"/>
      <c r="I501" s="257"/>
      <c r="J501" s="257"/>
      <c r="K501" s="257"/>
    </row>
    <row r="502" spans="1:11" x14ac:dyDescent="0.25">
      <c r="A502" s="268"/>
      <c r="B502" s="268"/>
      <c r="C502" s="268"/>
      <c r="D502" s="257"/>
      <c r="E502" s="257"/>
      <c r="F502" s="257"/>
      <c r="G502" s="257"/>
      <c r="H502" s="257"/>
      <c r="I502" s="257"/>
      <c r="J502" s="257"/>
      <c r="K502" s="257"/>
    </row>
    <row r="503" spans="1:11" x14ac:dyDescent="0.25">
      <c r="A503" s="268"/>
      <c r="B503" s="268"/>
      <c r="C503" s="268"/>
      <c r="D503" s="257"/>
      <c r="E503" s="257"/>
      <c r="F503" s="257"/>
      <c r="G503" s="257"/>
      <c r="H503" s="257"/>
      <c r="I503" s="257"/>
      <c r="J503" s="257"/>
      <c r="K503" s="257"/>
    </row>
    <row r="504" spans="1:11" x14ac:dyDescent="0.25">
      <c r="A504" s="268"/>
      <c r="B504" s="268"/>
      <c r="C504" s="268"/>
      <c r="D504" s="257"/>
      <c r="E504" s="257"/>
      <c r="F504" s="257"/>
      <c r="G504" s="257"/>
      <c r="H504" s="257"/>
      <c r="I504" s="257"/>
      <c r="J504" s="257"/>
      <c r="K504" s="257"/>
    </row>
    <row r="505" spans="1:11" x14ac:dyDescent="0.25">
      <c r="A505" s="268"/>
      <c r="B505" s="268"/>
      <c r="C505" s="268"/>
      <c r="D505" s="257"/>
      <c r="E505" s="257"/>
      <c r="F505" s="257"/>
      <c r="G505" s="257"/>
      <c r="H505" s="257"/>
      <c r="I505" s="257"/>
      <c r="J505" s="257"/>
      <c r="K505" s="257"/>
    </row>
    <row r="506" spans="1:11" x14ac:dyDescent="0.25">
      <c r="A506" s="268"/>
      <c r="B506" s="268"/>
      <c r="C506" s="268"/>
      <c r="D506" s="257"/>
      <c r="E506" s="257"/>
      <c r="F506" s="257"/>
      <c r="G506" s="257"/>
      <c r="H506" s="257"/>
      <c r="I506" s="257"/>
      <c r="J506" s="257"/>
      <c r="K506" s="257"/>
    </row>
    <row r="507" spans="1:11" x14ac:dyDescent="0.25">
      <c r="A507" s="268"/>
      <c r="B507" s="268"/>
      <c r="C507" s="268"/>
      <c r="D507" s="257"/>
      <c r="E507" s="257"/>
      <c r="F507" s="257"/>
      <c r="G507" s="257"/>
      <c r="H507" s="257"/>
      <c r="I507" s="257"/>
      <c r="J507" s="257"/>
      <c r="K507" s="257"/>
    </row>
    <row r="508" spans="1:11" x14ac:dyDescent="0.25">
      <c r="A508" s="268"/>
      <c r="B508" s="268"/>
      <c r="C508" s="268"/>
      <c r="D508" s="257"/>
      <c r="E508" s="257"/>
      <c r="F508" s="257"/>
      <c r="G508" s="257"/>
      <c r="H508" s="257"/>
      <c r="I508" s="257"/>
      <c r="J508" s="257"/>
      <c r="K508" s="257"/>
    </row>
    <row r="509" spans="1:11" x14ac:dyDescent="0.25">
      <c r="A509" s="268"/>
      <c r="B509" s="268"/>
      <c r="C509" s="268"/>
      <c r="D509" s="257"/>
      <c r="E509" s="257"/>
      <c r="F509" s="257"/>
      <c r="G509" s="257"/>
      <c r="H509" s="257"/>
      <c r="I509" s="257"/>
      <c r="J509" s="257"/>
      <c r="K509" s="257"/>
    </row>
    <row r="510" spans="1:11" x14ac:dyDescent="0.25">
      <c r="A510" s="268"/>
      <c r="B510" s="268"/>
      <c r="C510" s="268"/>
      <c r="D510" s="257"/>
      <c r="E510" s="257"/>
      <c r="F510" s="257"/>
      <c r="G510" s="257"/>
      <c r="H510" s="257"/>
      <c r="I510" s="257"/>
      <c r="J510" s="257"/>
      <c r="K510" s="257"/>
    </row>
    <row r="511" spans="1:11" x14ac:dyDescent="0.25">
      <c r="A511" s="268"/>
      <c r="B511" s="268"/>
      <c r="C511" s="268"/>
      <c r="D511" s="257"/>
      <c r="E511" s="257"/>
      <c r="F511" s="257"/>
      <c r="G511" s="257"/>
      <c r="H511" s="257"/>
      <c r="I511" s="257"/>
      <c r="J511" s="257"/>
      <c r="K511" s="257"/>
    </row>
    <row r="512" spans="1:11" x14ac:dyDescent="0.25">
      <c r="A512" s="268"/>
      <c r="B512" s="268"/>
      <c r="C512" s="268"/>
      <c r="D512" s="257"/>
      <c r="E512" s="257"/>
      <c r="F512" s="257"/>
      <c r="G512" s="257"/>
      <c r="H512" s="257"/>
      <c r="I512" s="257"/>
      <c r="J512" s="257"/>
      <c r="K512" s="257"/>
    </row>
    <row r="513" spans="1:11" x14ac:dyDescent="0.25">
      <c r="A513" s="268"/>
      <c r="B513" s="268"/>
      <c r="C513" s="268"/>
      <c r="D513" s="257"/>
      <c r="E513" s="257"/>
      <c r="F513" s="257"/>
      <c r="G513" s="257"/>
      <c r="H513" s="257"/>
      <c r="I513" s="257"/>
      <c r="J513" s="257"/>
      <c r="K513" s="257"/>
    </row>
    <row r="514" spans="1:11" x14ac:dyDescent="0.25">
      <c r="A514" s="268"/>
      <c r="B514" s="268"/>
      <c r="C514" s="268"/>
      <c r="D514" s="257"/>
      <c r="E514" s="257"/>
      <c r="F514" s="257"/>
      <c r="G514" s="257"/>
      <c r="H514" s="257"/>
      <c r="I514" s="257"/>
      <c r="J514" s="257"/>
      <c r="K514" s="257"/>
    </row>
    <row r="515" spans="1:11" x14ac:dyDescent="0.25">
      <c r="A515" s="268"/>
      <c r="B515" s="268"/>
      <c r="C515" s="268"/>
      <c r="D515" s="257"/>
      <c r="E515" s="257"/>
      <c r="F515" s="257"/>
      <c r="G515" s="257"/>
      <c r="H515" s="257"/>
      <c r="I515" s="257"/>
      <c r="J515" s="257"/>
      <c r="K515" s="257"/>
    </row>
    <row r="516" spans="1:11" x14ac:dyDescent="0.25">
      <c r="A516" s="268"/>
      <c r="B516" s="268"/>
      <c r="C516" s="268"/>
      <c r="D516" s="257"/>
      <c r="E516" s="257"/>
      <c r="F516" s="257"/>
      <c r="G516" s="257"/>
      <c r="H516" s="257"/>
      <c r="I516" s="257"/>
      <c r="J516" s="257"/>
      <c r="K516" s="257"/>
    </row>
    <row r="517" spans="1:11" x14ac:dyDescent="0.25">
      <c r="A517" s="268"/>
      <c r="B517" s="268"/>
      <c r="C517" s="268"/>
      <c r="D517" s="257"/>
      <c r="E517" s="257"/>
      <c r="F517" s="257"/>
      <c r="G517" s="257"/>
      <c r="H517" s="257"/>
      <c r="I517" s="257"/>
      <c r="J517" s="257"/>
      <c r="K517" s="257"/>
    </row>
    <row r="518" spans="1:11" x14ac:dyDescent="0.25">
      <c r="A518" s="268"/>
      <c r="B518" s="268"/>
      <c r="C518" s="268"/>
      <c r="D518" s="257"/>
      <c r="E518" s="257"/>
      <c r="F518" s="257"/>
      <c r="G518" s="257"/>
      <c r="H518" s="257"/>
      <c r="I518" s="257"/>
      <c r="J518" s="257"/>
      <c r="K518" s="257"/>
    </row>
    <row r="519" spans="1:11" x14ac:dyDescent="0.25">
      <c r="A519" s="268"/>
      <c r="B519" s="268"/>
      <c r="C519" s="268"/>
      <c r="D519" s="257"/>
      <c r="E519" s="257"/>
      <c r="F519" s="257"/>
      <c r="G519" s="257"/>
      <c r="H519" s="257"/>
      <c r="I519" s="257"/>
      <c r="J519" s="257"/>
      <c r="K519" s="257"/>
    </row>
    <row r="520" spans="1:11" x14ac:dyDescent="0.25">
      <c r="A520" s="268"/>
      <c r="B520" s="268"/>
      <c r="C520" s="268"/>
      <c r="D520" s="257"/>
      <c r="E520" s="257"/>
      <c r="F520" s="257"/>
      <c r="G520" s="257"/>
      <c r="H520" s="257"/>
      <c r="I520" s="257"/>
      <c r="J520" s="257"/>
      <c r="K520" s="257"/>
    </row>
    <row r="521" spans="1:11" x14ac:dyDescent="0.25">
      <c r="A521" s="268"/>
      <c r="B521" s="268"/>
      <c r="C521" s="268"/>
      <c r="D521" s="257"/>
      <c r="E521" s="257"/>
      <c r="F521" s="257"/>
      <c r="G521" s="257"/>
      <c r="H521" s="257"/>
      <c r="I521" s="257"/>
      <c r="J521" s="257"/>
      <c r="K521" s="257"/>
    </row>
    <row r="522" spans="1:11" x14ac:dyDescent="0.25">
      <c r="A522" s="268"/>
      <c r="B522" s="268"/>
      <c r="C522" s="268"/>
      <c r="D522" s="257"/>
      <c r="E522" s="257"/>
      <c r="F522" s="257"/>
      <c r="G522" s="257"/>
      <c r="H522" s="257"/>
      <c r="I522" s="257"/>
      <c r="J522" s="257"/>
      <c r="K522" s="257"/>
    </row>
    <row r="523" spans="1:11" x14ac:dyDescent="0.25">
      <c r="A523" s="268"/>
      <c r="B523" s="268"/>
      <c r="C523" s="268"/>
      <c r="D523" s="257"/>
      <c r="E523" s="257"/>
      <c r="F523" s="257"/>
      <c r="G523" s="257"/>
      <c r="H523" s="257"/>
      <c r="I523" s="257"/>
      <c r="J523" s="257"/>
      <c r="K523" s="257"/>
    </row>
    <row r="524" spans="1:11" x14ac:dyDescent="0.25">
      <c r="A524" s="268"/>
      <c r="B524" s="268"/>
      <c r="C524" s="268"/>
      <c r="D524" s="257"/>
      <c r="E524" s="257"/>
      <c r="F524" s="257"/>
      <c r="G524" s="257"/>
      <c r="H524" s="257"/>
      <c r="I524" s="257"/>
      <c r="J524" s="257"/>
      <c r="K524" s="257"/>
    </row>
    <row r="525" spans="1:11" x14ac:dyDescent="0.25">
      <c r="A525" s="268"/>
      <c r="B525" s="268"/>
      <c r="C525" s="268"/>
      <c r="D525" s="257"/>
      <c r="E525" s="257"/>
      <c r="F525" s="257"/>
      <c r="G525" s="257"/>
      <c r="H525" s="257"/>
      <c r="I525" s="257"/>
      <c r="J525" s="257"/>
      <c r="K525" s="257"/>
    </row>
    <row r="526" spans="1:11" x14ac:dyDescent="0.25">
      <c r="A526" s="268"/>
      <c r="B526" s="268"/>
      <c r="C526" s="268"/>
      <c r="D526" s="257"/>
      <c r="E526" s="257"/>
      <c r="F526" s="257"/>
      <c r="G526" s="257"/>
      <c r="H526" s="257"/>
      <c r="I526" s="257"/>
      <c r="J526" s="257"/>
      <c r="K526" s="257"/>
    </row>
    <row r="527" spans="1:11" x14ac:dyDescent="0.25">
      <c r="A527" s="268"/>
      <c r="B527" s="268"/>
      <c r="C527" s="268"/>
      <c r="D527" s="257"/>
      <c r="E527" s="257"/>
      <c r="F527" s="257"/>
      <c r="G527" s="257"/>
      <c r="H527" s="257"/>
      <c r="I527" s="257"/>
      <c r="J527" s="257"/>
      <c r="K527" s="257"/>
    </row>
    <row r="528" spans="1:11" x14ac:dyDescent="0.25">
      <c r="A528" s="268"/>
      <c r="B528" s="268"/>
      <c r="C528" s="268"/>
      <c r="D528" s="257"/>
      <c r="E528" s="257"/>
      <c r="F528" s="257"/>
      <c r="G528" s="257"/>
      <c r="H528" s="257"/>
      <c r="I528" s="257"/>
      <c r="J528" s="257"/>
      <c r="K528" s="257"/>
    </row>
    <row r="529" spans="1:11" x14ac:dyDescent="0.25">
      <c r="A529" s="268"/>
      <c r="B529" s="268"/>
      <c r="C529" s="268"/>
      <c r="D529" s="257"/>
      <c r="E529" s="257"/>
      <c r="F529" s="257"/>
      <c r="G529" s="257"/>
      <c r="H529" s="257"/>
      <c r="I529" s="257"/>
      <c r="J529" s="257"/>
      <c r="K529" s="257"/>
    </row>
    <row r="530" spans="1:11" x14ac:dyDescent="0.25">
      <c r="A530" s="268"/>
      <c r="B530" s="268"/>
      <c r="C530" s="268"/>
      <c r="D530" s="257"/>
      <c r="E530" s="257"/>
      <c r="F530" s="257"/>
      <c r="G530" s="257"/>
      <c r="H530" s="257"/>
      <c r="I530" s="257"/>
      <c r="J530" s="257"/>
      <c r="K530" s="257"/>
    </row>
    <row r="531" spans="1:11" x14ac:dyDescent="0.25">
      <c r="A531" s="268"/>
      <c r="B531" s="268"/>
      <c r="C531" s="268"/>
      <c r="D531" s="257"/>
      <c r="E531" s="257"/>
      <c r="F531" s="257"/>
      <c r="G531" s="257"/>
      <c r="H531" s="257"/>
      <c r="I531" s="257"/>
      <c r="J531" s="257"/>
      <c r="K531" s="257"/>
    </row>
    <row r="532" spans="1:11" x14ac:dyDescent="0.25">
      <c r="A532" s="268"/>
      <c r="B532" s="268"/>
      <c r="C532" s="268"/>
      <c r="D532" s="257"/>
      <c r="E532" s="257"/>
      <c r="F532" s="257"/>
      <c r="G532" s="257"/>
      <c r="H532" s="257"/>
      <c r="I532" s="257"/>
      <c r="J532" s="257"/>
      <c r="K532" s="257"/>
    </row>
    <row r="533" spans="1:11" x14ac:dyDescent="0.25">
      <c r="A533" s="268"/>
      <c r="B533" s="268"/>
      <c r="C533" s="268"/>
      <c r="D533" s="257"/>
      <c r="E533" s="257"/>
      <c r="F533" s="257"/>
      <c r="G533" s="257"/>
      <c r="H533" s="257"/>
      <c r="I533" s="257"/>
      <c r="J533" s="257"/>
      <c r="K533" s="257"/>
    </row>
    <row r="534" spans="1:11" x14ac:dyDescent="0.25">
      <c r="A534" s="268"/>
      <c r="B534" s="268"/>
      <c r="C534" s="268"/>
      <c r="D534" s="257"/>
      <c r="E534" s="257"/>
      <c r="F534" s="257"/>
      <c r="G534" s="257"/>
      <c r="H534" s="257"/>
      <c r="I534" s="257"/>
      <c r="J534" s="257"/>
      <c r="K534" s="257"/>
    </row>
    <row r="535" spans="1:11" x14ac:dyDescent="0.25">
      <c r="A535" s="268"/>
      <c r="B535" s="268"/>
      <c r="C535" s="268"/>
      <c r="D535" s="257"/>
      <c r="E535" s="257"/>
      <c r="F535" s="257"/>
      <c r="G535" s="257"/>
      <c r="H535" s="257"/>
      <c r="I535" s="257"/>
      <c r="J535" s="257"/>
      <c r="K535" s="257"/>
    </row>
    <row r="536" spans="1:11" x14ac:dyDescent="0.25">
      <c r="A536" s="268"/>
      <c r="B536" s="268"/>
      <c r="C536" s="268"/>
      <c r="D536" s="257"/>
      <c r="E536" s="257"/>
      <c r="F536" s="257"/>
      <c r="G536" s="257"/>
      <c r="H536" s="257"/>
      <c r="I536" s="257"/>
      <c r="J536" s="257"/>
      <c r="K536" s="257"/>
    </row>
    <row r="537" spans="1:11" x14ac:dyDescent="0.25">
      <c r="A537" s="268"/>
      <c r="B537" s="268"/>
      <c r="C537" s="268"/>
      <c r="D537" s="257"/>
      <c r="E537" s="257"/>
      <c r="F537" s="257"/>
      <c r="G537" s="257"/>
      <c r="H537" s="257"/>
      <c r="I537" s="257"/>
      <c r="J537" s="257"/>
      <c r="K537" s="257"/>
    </row>
    <row r="538" spans="1:11" x14ac:dyDescent="0.25">
      <c r="A538" s="268"/>
      <c r="B538" s="268"/>
      <c r="C538" s="268"/>
      <c r="D538" s="257"/>
      <c r="E538" s="257"/>
      <c r="F538" s="257"/>
      <c r="G538" s="257"/>
      <c r="H538" s="257"/>
      <c r="I538" s="257"/>
      <c r="J538" s="257"/>
      <c r="K538" s="257"/>
    </row>
    <row r="539" spans="1:11" x14ac:dyDescent="0.25">
      <c r="A539" s="268"/>
      <c r="B539" s="268"/>
      <c r="C539" s="268"/>
      <c r="D539" s="257"/>
      <c r="E539" s="257"/>
      <c r="F539" s="257"/>
      <c r="G539" s="257"/>
      <c r="H539" s="257"/>
      <c r="I539" s="257"/>
      <c r="J539" s="257"/>
      <c r="K539" s="257"/>
    </row>
    <row r="540" spans="1:11" x14ac:dyDescent="0.25">
      <c r="A540" s="268"/>
      <c r="B540" s="268"/>
      <c r="C540" s="268"/>
      <c r="D540" s="257"/>
      <c r="E540" s="257"/>
      <c r="F540" s="257"/>
      <c r="G540" s="257"/>
      <c r="H540" s="257"/>
      <c r="I540" s="257"/>
      <c r="J540" s="257"/>
      <c r="K540" s="257"/>
    </row>
    <row r="541" spans="1:11" x14ac:dyDescent="0.25">
      <c r="A541" s="268"/>
      <c r="B541" s="268"/>
      <c r="C541" s="268"/>
      <c r="D541" s="257"/>
      <c r="E541" s="257"/>
      <c r="F541" s="257"/>
      <c r="G541" s="257"/>
      <c r="H541" s="257"/>
      <c r="I541" s="257"/>
      <c r="J541" s="257"/>
      <c r="K541" s="257"/>
    </row>
    <row r="542" spans="1:11" x14ac:dyDescent="0.25">
      <c r="A542" s="268"/>
      <c r="B542" s="268"/>
      <c r="C542" s="268"/>
      <c r="D542" s="257"/>
      <c r="E542" s="257"/>
      <c r="F542" s="257"/>
      <c r="G542" s="257"/>
      <c r="H542" s="257"/>
      <c r="I542" s="257"/>
      <c r="J542" s="257"/>
      <c r="K542" s="257"/>
    </row>
    <row r="543" spans="1:11" x14ac:dyDescent="0.25">
      <c r="A543" s="268"/>
      <c r="B543" s="268"/>
      <c r="C543" s="268"/>
      <c r="D543" s="257"/>
      <c r="E543" s="257"/>
      <c r="F543" s="257"/>
      <c r="G543" s="257"/>
      <c r="H543" s="257"/>
      <c r="I543" s="257"/>
      <c r="J543" s="257"/>
      <c r="K543" s="257"/>
    </row>
    <row r="544" spans="1:11" x14ac:dyDescent="0.25">
      <c r="A544" s="268"/>
      <c r="B544" s="268"/>
      <c r="C544" s="268"/>
      <c r="D544" s="257"/>
      <c r="E544" s="257"/>
      <c r="F544" s="257"/>
      <c r="G544" s="257"/>
      <c r="H544" s="257"/>
      <c r="I544" s="257"/>
      <c r="J544" s="257"/>
      <c r="K544" s="257"/>
    </row>
    <row r="545" spans="1:11" x14ac:dyDescent="0.25">
      <c r="A545" s="268"/>
      <c r="B545" s="268"/>
      <c r="C545" s="268"/>
      <c r="D545" s="257"/>
      <c r="E545" s="257"/>
      <c r="F545" s="257"/>
      <c r="G545" s="257"/>
      <c r="H545" s="257"/>
      <c r="I545" s="257"/>
      <c r="J545" s="257"/>
      <c r="K545" s="257"/>
    </row>
    <row r="546" spans="1:11" x14ac:dyDescent="0.25">
      <c r="A546" s="268"/>
      <c r="B546" s="268"/>
      <c r="C546" s="268"/>
      <c r="D546" s="257"/>
      <c r="E546" s="257"/>
      <c r="F546" s="257"/>
      <c r="G546" s="257"/>
      <c r="H546" s="257"/>
      <c r="I546" s="257"/>
      <c r="J546" s="257"/>
      <c r="K546" s="257"/>
    </row>
    <row r="547" spans="1:11" x14ac:dyDescent="0.25">
      <c r="A547" s="268"/>
      <c r="B547" s="268"/>
      <c r="C547" s="268"/>
      <c r="D547" s="257"/>
      <c r="E547" s="257"/>
      <c r="F547" s="257"/>
      <c r="G547" s="257"/>
      <c r="H547" s="257"/>
      <c r="I547" s="257"/>
      <c r="J547" s="257"/>
      <c r="K547" s="257"/>
    </row>
    <row r="548" spans="1:11" x14ac:dyDescent="0.25">
      <c r="A548" s="268"/>
      <c r="B548" s="268"/>
      <c r="C548" s="268"/>
      <c r="D548" s="257"/>
      <c r="E548" s="257"/>
      <c r="F548" s="257"/>
      <c r="G548" s="257"/>
      <c r="H548" s="257"/>
      <c r="I548" s="257"/>
      <c r="J548" s="257"/>
      <c r="K548" s="257"/>
    </row>
    <row r="549" spans="1:11" x14ac:dyDescent="0.25">
      <c r="A549" s="268"/>
      <c r="B549" s="268"/>
      <c r="C549" s="268"/>
      <c r="D549" s="257"/>
      <c r="E549" s="257"/>
      <c r="F549" s="257"/>
      <c r="G549" s="257"/>
      <c r="H549" s="257"/>
      <c r="I549" s="257"/>
      <c r="J549" s="257"/>
      <c r="K549" s="257"/>
    </row>
    <row r="550" spans="1:11" x14ac:dyDescent="0.25">
      <c r="A550" s="268"/>
      <c r="B550" s="268"/>
      <c r="C550" s="268"/>
      <c r="D550" s="257"/>
      <c r="E550" s="257"/>
      <c r="F550" s="257"/>
      <c r="G550" s="257"/>
      <c r="H550" s="257"/>
      <c r="I550" s="257"/>
      <c r="J550" s="257"/>
      <c r="K550" s="257"/>
    </row>
    <row r="551" spans="1:11" x14ac:dyDescent="0.25">
      <c r="A551" s="268"/>
      <c r="B551" s="268"/>
      <c r="C551" s="268"/>
      <c r="D551" s="257"/>
      <c r="E551" s="257"/>
      <c r="F551" s="257"/>
      <c r="G551" s="257"/>
      <c r="H551" s="257"/>
      <c r="I551" s="257"/>
      <c r="J551" s="257"/>
      <c r="K551" s="257"/>
    </row>
    <row r="552" spans="1:11" x14ac:dyDescent="0.25">
      <c r="A552" s="268"/>
      <c r="B552" s="268"/>
      <c r="C552" s="268"/>
      <c r="D552" s="257"/>
      <c r="E552" s="257"/>
      <c r="F552" s="257"/>
      <c r="G552" s="257"/>
      <c r="H552" s="257"/>
      <c r="I552" s="257"/>
      <c r="J552" s="257"/>
      <c r="K552" s="257"/>
    </row>
    <row r="553" spans="1:11" x14ac:dyDescent="0.25">
      <c r="A553" s="268"/>
      <c r="B553" s="268"/>
      <c r="C553" s="268"/>
      <c r="D553" s="257"/>
      <c r="E553" s="257"/>
      <c r="F553" s="257"/>
      <c r="G553" s="257"/>
      <c r="H553" s="257"/>
      <c r="I553" s="257"/>
      <c r="J553" s="257"/>
      <c r="K553" s="257"/>
    </row>
    <row r="554" spans="1:11" x14ac:dyDescent="0.25">
      <c r="A554" s="268"/>
      <c r="B554" s="268"/>
      <c r="C554" s="268"/>
      <c r="D554" s="257"/>
      <c r="E554" s="257"/>
      <c r="F554" s="257"/>
      <c r="G554" s="257"/>
      <c r="H554" s="257"/>
      <c r="I554" s="257"/>
      <c r="J554" s="257"/>
      <c r="K554" s="257"/>
    </row>
    <row r="555" spans="1:11" x14ac:dyDescent="0.25">
      <c r="A555" s="268"/>
      <c r="B555" s="268"/>
      <c r="C555" s="268"/>
      <c r="D555" s="257"/>
      <c r="E555" s="257"/>
      <c r="F555" s="257"/>
      <c r="G555" s="257"/>
      <c r="H555" s="257"/>
      <c r="I555" s="257"/>
      <c r="J555" s="257"/>
      <c r="K555" s="257"/>
    </row>
    <row r="556" spans="1:11" x14ac:dyDescent="0.25">
      <c r="A556" s="268"/>
      <c r="B556" s="268"/>
      <c r="C556" s="268"/>
      <c r="D556" s="257"/>
      <c r="E556" s="257"/>
      <c r="F556" s="257"/>
      <c r="G556" s="257"/>
      <c r="H556" s="257"/>
      <c r="I556" s="257"/>
      <c r="J556" s="257"/>
      <c r="K556" s="257"/>
    </row>
    <row r="557" spans="1:11" x14ac:dyDescent="0.25">
      <c r="A557" s="268"/>
      <c r="B557" s="268"/>
      <c r="C557" s="268"/>
      <c r="D557" s="257"/>
      <c r="E557" s="257"/>
      <c r="F557" s="257"/>
      <c r="G557" s="257"/>
      <c r="H557" s="257"/>
      <c r="I557" s="257"/>
      <c r="J557" s="257"/>
      <c r="K557" s="257"/>
    </row>
    <row r="558" spans="1:11" x14ac:dyDescent="0.25">
      <c r="A558" s="268"/>
      <c r="B558" s="268"/>
      <c r="C558" s="268"/>
      <c r="D558" s="257"/>
      <c r="E558" s="257"/>
      <c r="F558" s="257"/>
      <c r="G558" s="257"/>
      <c r="H558" s="257"/>
      <c r="I558" s="257"/>
      <c r="J558" s="257"/>
      <c r="K558" s="257"/>
    </row>
    <row r="559" spans="1:11" x14ac:dyDescent="0.25">
      <c r="A559" s="268"/>
      <c r="B559" s="268"/>
      <c r="C559" s="268"/>
      <c r="D559" s="257"/>
      <c r="E559" s="257"/>
      <c r="F559" s="257"/>
      <c r="G559" s="257"/>
      <c r="H559" s="257"/>
      <c r="I559" s="257"/>
      <c r="J559" s="257"/>
      <c r="K559" s="257"/>
    </row>
    <row r="560" spans="1:11" x14ac:dyDescent="0.25">
      <c r="A560" s="268"/>
      <c r="B560" s="268"/>
      <c r="C560" s="268"/>
      <c r="D560" s="257"/>
      <c r="E560" s="257"/>
      <c r="F560" s="257"/>
      <c r="G560" s="257"/>
      <c r="H560" s="257"/>
      <c r="I560" s="257"/>
      <c r="J560" s="257"/>
      <c r="K560" s="257"/>
    </row>
    <row r="561" spans="1:11" x14ac:dyDescent="0.25">
      <c r="A561" s="268"/>
      <c r="B561" s="268"/>
      <c r="C561" s="268"/>
      <c r="D561" s="257"/>
      <c r="E561" s="257"/>
      <c r="F561" s="257"/>
      <c r="G561" s="257"/>
      <c r="H561" s="257"/>
      <c r="I561" s="257"/>
      <c r="J561" s="257"/>
      <c r="K561" s="257"/>
    </row>
    <row r="562" spans="1:11" x14ac:dyDescent="0.25">
      <c r="A562" s="268"/>
      <c r="B562" s="268"/>
      <c r="C562" s="268"/>
      <c r="D562" s="257"/>
      <c r="E562" s="257"/>
      <c r="F562" s="257"/>
      <c r="G562" s="257"/>
      <c r="H562" s="257"/>
      <c r="I562" s="257"/>
      <c r="J562" s="257"/>
      <c r="K562" s="257"/>
    </row>
    <row r="563" spans="1:11" x14ac:dyDescent="0.25">
      <c r="A563" s="268"/>
      <c r="B563" s="268"/>
      <c r="C563" s="268"/>
      <c r="D563" s="257"/>
      <c r="E563" s="257"/>
      <c r="F563" s="257"/>
      <c r="G563" s="257"/>
      <c r="H563" s="257"/>
      <c r="I563" s="257"/>
      <c r="J563" s="257"/>
      <c r="K563" s="257"/>
    </row>
    <row r="564" spans="1:11" x14ac:dyDescent="0.25">
      <c r="A564" s="268"/>
      <c r="B564" s="268"/>
      <c r="C564" s="268"/>
      <c r="D564" s="257"/>
      <c r="E564" s="257"/>
      <c r="F564" s="257"/>
      <c r="G564" s="257"/>
      <c r="H564" s="257"/>
      <c r="I564" s="257"/>
      <c r="J564" s="257"/>
      <c r="K564" s="257"/>
    </row>
    <row r="565" spans="1:11" x14ac:dyDescent="0.25">
      <c r="A565" s="268"/>
      <c r="B565" s="268"/>
      <c r="C565" s="268"/>
      <c r="D565" s="257"/>
      <c r="E565" s="257"/>
      <c r="F565" s="257"/>
      <c r="G565" s="257"/>
      <c r="H565" s="257"/>
      <c r="I565" s="257"/>
      <c r="J565" s="257"/>
      <c r="K565" s="257"/>
    </row>
    <row r="566" spans="1:11" x14ac:dyDescent="0.25">
      <c r="A566" s="268"/>
      <c r="B566" s="268"/>
      <c r="C566" s="268"/>
      <c r="D566" s="257"/>
      <c r="E566" s="257"/>
      <c r="F566" s="257"/>
      <c r="G566" s="257"/>
      <c r="H566" s="257"/>
      <c r="I566" s="257"/>
      <c r="J566" s="257"/>
      <c r="K566" s="257"/>
    </row>
    <row r="567" spans="1:11" x14ac:dyDescent="0.25">
      <c r="A567" s="268"/>
      <c r="B567" s="268"/>
      <c r="C567" s="268"/>
      <c r="D567" s="257"/>
      <c r="E567" s="257"/>
      <c r="F567" s="257"/>
      <c r="G567" s="257"/>
      <c r="H567" s="257"/>
      <c r="I567" s="257"/>
      <c r="J567" s="257"/>
      <c r="K567" s="257"/>
    </row>
    <row r="568" spans="1:11" x14ac:dyDescent="0.25">
      <c r="A568" s="268"/>
      <c r="B568" s="268"/>
      <c r="C568" s="268"/>
      <c r="D568" s="257"/>
      <c r="E568" s="257"/>
      <c r="F568" s="257"/>
      <c r="G568" s="257"/>
      <c r="H568" s="257"/>
      <c r="I568" s="257"/>
      <c r="J568" s="257"/>
      <c r="K568" s="257"/>
    </row>
    <row r="569" spans="1:11" x14ac:dyDescent="0.25">
      <c r="A569" s="268"/>
      <c r="B569" s="268"/>
      <c r="C569" s="268"/>
      <c r="D569" s="257"/>
      <c r="E569" s="257"/>
      <c r="F569" s="257"/>
      <c r="G569" s="257"/>
      <c r="H569" s="257"/>
      <c r="I569" s="257"/>
      <c r="J569" s="257"/>
      <c r="K569" s="257"/>
    </row>
    <row r="570" spans="1:11" x14ac:dyDescent="0.25">
      <c r="A570" s="268"/>
      <c r="B570" s="268"/>
      <c r="C570" s="268"/>
      <c r="D570" s="257"/>
      <c r="E570" s="257"/>
      <c r="F570" s="257"/>
      <c r="G570" s="257"/>
      <c r="H570" s="257"/>
      <c r="I570" s="257"/>
      <c r="J570" s="257"/>
      <c r="K570" s="257"/>
    </row>
    <row r="571" spans="1:11" x14ac:dyDescent="0.25">
      <c r="A571" s="268"/>
      <c r="B571" s="268"/>
      <c r="C571" s="268"/>
      <c r="D571" s="257"/>
      <c r="E571" s="257"/>
      <c r="F571" s="257"/>
      <c r="G571" s="257"/>
      <c r="H571" s="257"/>
      <c r="I571" s="257"/>
      <c r="J571" s="257"/>
      <c r="K571" s="257"/>
    </row>
    <row r="572" spans="1:11" x14ac:dyDescent="0.25">
      <c r="A572" s="268"/>
      <c r="B572" s="268"/>
      <c r="C572" s="268"/>
      <c r="D572" s="257"/>
      <c r="E572" s="257"/>
      <c r="F572" s="257"/>
      <c r="G572" s="257"/>
      <c r="H572" s="257"/>
      <c r="I572" s="257"/>
      <c r="J572" s="257"/>
      <c r="K572" s="257"/>
    </row>
    <row r="573" spans="1:11" x14ac:dyDescent="0.25">
      <c r="A573" s="268"/>
      <c r="B573" s="268"/>
      <c r="C573" s="268"/>
      <c r="D573" s="257"/>
      <c r="E573" s="257"/>
      <c r="F573" s="257"/>
      <c r="G573" s="257"/>
      <c r="H573" s="257"/>
      <c r="I573" s="257"/>
      <c r="J573" s="257"/>
      <c r="K573" s="257"/>
    </row>
    <row r="574" spans="1:11" x14ac:dyDescent="0.25">
      <c r="A574" s="268"/>
      <c r="B574" s="268"/>
      <c r="C574" s="268"/>
      <c r="D574" s="257"/>
      <c r="E574" s="257"/>
      <c r="F574" s="257"/>
      <c r="G574" s="257"/>
      <c r="H574" s="257"/>
      <c r="I574" s="257"/>
      <c r="J574" s="257"/>
      <c r="K574" s="257"/>
    </row>
    <row r="575" spans="1:11" x14ac:dyDescent="0.25">
      <c r="A575" s="268"/>
      <c r="B575" s="268"/>
      <c r="C575" s="268"/>
      <c r="D575" s="257"/>
      <c r="E575" s="257"/>
      <c r="F575" s="257"/>
      <c r="G575" s="257"/>
      <c r="H575" s="257"/>
      <c r="I575" s="257"/>
      <c r="J575" s="257"/>
      <c r="K575" s="257"/>
    </row>
    <row r="576" spans="1:11" x14ac:dyDescent="0.25">
      <c r="A576" s="268"/>
      <c r="B576" s="268"/>
      <c r="C576" s="268"/>
      <c r="D576" s="257"/>
      <c r="E576" s="257"/>
      <c r="F576" s="257"/>
      <c r="G576" s="257"/>
      <c r="H576" s="257"/>
      <c r="I576" s="257"/>
      <c r="J576" s="257"/>
      <c r="K576" s="257"/>
    </row>
    <row r="577" spans="1:11" x14ac:dyDescent="0.25">
      <c r="A577" s="268"/>
      <c r="B577" s="268"/>
      <c r="C577" s="268"/>
      <c r="D577" s="257"/>
      <c r="E577" s="257"/>
      <c r="F577" s="257"/>
      <c r="G577" s="257"/>
      <c r="H577" s="257"/>
      <c r="I577" s="257"/>
      <c r="J577" s="257"/>
      <c r="K577" s="257"/>
    </row>
    <row r="578" spans="1:11" x14ac:dyDescent="0.25">
      <c r="A578" s="268"/>
      <c r="B578" s="268"/>
      <c r="C578" s="268"/>
      <c r="D578" s="257"/>
      <c r="E578" s="257"/>
      <c r="F578" s="257"/>
      <c r="G578" s="257"/>
      <c r="H578" s="257"/>
      <c r="I578" s="257"/>
      <c r="J578" s="257"/>
      <c r="K578" s="257"/>
    </row>
    <row r="579" spans="1:11" x14ac:dyDescent="0.25">
      <c r="A579" s="268"/>
      <c r="B579" s="268"/>
      <c r="C579" s="268"/>
      <c r="D579" s="257"/>
      <c r="E579" s="257"/>
      <c r="F579" s="257"/>
      <c r="G579" s="257"/>
      <c r="H579" s="257"/>
      <c r="I579" s="257"/>
      <c r="J579" s="257"/>
      <c r="K579" s="257"/>
    </row>
    <row r="580" spans="1:11" x14ac:dyDescent="0.25">
      <c r="A580" s="268"/>
      <c r="B580" s="268"/>
      <c r="C580" s="268"/>
      <c r="D580" s="257"/>
      <c r="E580" s="257"/>
      <c r="F580" s="257"/>
      <c r="G580" s="257"/>
      <c r="H580" s="257"/>
      <c r="I580" s="257"/>
      <c r="J580" s="257"/>
      <c r="K580" s="257"/>
    </row>
    <row r="581" spans="1:11" x14ac:dyDescent="0.25">
      <c r="A581" s="268"/>
      <c r="B581" s="268"/>
      <c r="C581" s="268"/>
      <c r="D581" s="257"/>
      <c r="E581" s="257"/>
      <c r="F581" s="257"/>
      <c r="G581" s="257"/>
      <c r="H581" s="257"/>
      <c r="I581" s="257"/>
      <c r="J581" s="257"/>
      <c r="K581" s="257"/>
    </row>
    <row r="582" spans="1:11" x14ac:dyDescent="0.25">
      <c r="A582" s="268"/>
      <c r="B582" s="268"/>
      <c r="C582" s="268"/>
      <c r="D582" s="257"/>
      <c r="E582" s="257"/>
      <c r="F582" s="257"/>
      <c r="G582" s="257"/>
      <c r="H582" s="257"/>
      <c r="I582" s="257"/>
      <c r="J582" s="257"/>
      <c r="K582" s="257"/>
    </row>
    <row r="583" spans="1:11" x14ac:dyDescent="0.25">
      <c r="A583" s="268"/>
      <c r="B583" s="268"/>
      <c r="C583" s="268"/>
      <c r="D583" s="257"/>
      <c r="E583" s="257"/>
      <c r="F583" s="257"/>
      <c r="G583" s="257"/>
      <c r="H583" s="257"/>
      <c r="I583" s="257"/>
      <c r="J583" s="257"/>
      <c r="K583" s="257"/>
    </row>
    <row r="584" spans="1:11" x14ac:dyDescent="0.25">
      <c r="A584" s="268"/>
      <c r="B584" s="268"/>
      <c r="C584" s="268"/>
      <c r="D584" s="257"/>
      <c r="E584" s="257"/>
      <c r="F584" s="257"/>
      <c r="G584" s="257"/>
      <c r="H584" s="257"/>
      <c r="I584" s="257"/>
      <c r="J584" s="257"/>
      <c r="K584" s="257"/>
    </row>
    <row r="585" spans="1:11" x14ac:dyDescent="0.25">
      <c r="A585" s="268"/>
      <c r="B585" s="268"/>
      <c r="C585" s="268"/>
      <c r="D585" s="257"/>
      <c r="E585" s="257"/>
      <c r="F585" s="257"/>
      <c r="G585" s="257"/>
      <c r="H585" s="257"/>
      <c r="I585" s="257"/>
      <c r="J585" s="257"/>
      <c r="K585" s="257"/>
    </row>
    <row r="586" spans="1:11" x14ac:dyDescent="0.25">
      <c r="A586" s="268"/>
      <c r="B586" s="268"/>
      <c r="C586" s="268"/>
      <c r="D586" s="257"/>
      <c r="E586" s="257"/>
      <c r="F586" s="257"/>
      <c r="G586" s="257"/>
      <c r="H586" s="257"/>
      <c r="I586" s="257"/>
      <c r="J586" s="257"/>
      <c r="K586" s="257"/>
    </row>
    <row r="587" spans="1:11" x14ac:dyDescent="0.25">
      <c r="A587" s="268"/>
      <c r="B587" s="268"/>
      <c r="C587" s="268"/>
      <c r="D587" s="257"/>
      <c r="E587" s="257"/>
      <c r="F587" s="257"/>
      <c r="G587" s="257"/>
      <c r="H587" s="257"/>
      <c r="I587" s="257"/>
      <c r="J587" s="257"/>
      <c r="K587" s="257"/>
    </row>
    <row r="588" spans="1:11" x14ac:dyDescent="0.25">
      <c r="A588" s="268"/>
      <c r="B588" s="268"/>
      <c r="C588" s="268"/>
      <c r="D588" s="257"/>
      <c r="E588" s="257"/>
      <c r="F588" s="257"/>
      <c r="G588" s="257"/>
      <c r="H588" s="257"/>
      <c r="I588" s="257"/>
      <c r="J588" s="257"/>
      <c r="K588" s="257"/>
    </row>
    <row r="589" spans="1:11" x14ac:dyDescent="0.25">
      <c r="A589" s="268"/>
      <c r="B589" s="268"/>
      <c r="C589" s="268"/>
      <c r="D589" s="257"/>
      <c r="E589" s="257"/>
      <c r="F589" s="257"/>
      <c r="G589" s="257"/>
      <c r="H589" s="257"/>
      <c r="I589" s="257"/>
      <c r="J589" s="257"/>
      <c r="K589" s="257"/>
    </row>
    <row r="590" spans="1:11" x14ac:dyDescent="0.25">
      <c r="A590" s="268"/>
      <c r="B590" s="268"/>
      <c r="C590" s="268"/>
      <c r="D590" s="257"/>
      <c r="E590" s="257"/>
      <c r="F590" s="257"/>
      <c r="G590" s="257"/>
      <c r="H590" s="257"/>
      <c r="I590" s="257"/>
      <c r="J590" s="257"/>
      <c r="K590" s="257"/>
    </row>
    <row r="591" spans="1:11" x14ac:dyDescent="0.25">
      <c r="A591" s="268"/>
      <c r="B591" s="268"/>
      <c r="C591" s="268"/>
      <c r="D591" s="257"/>
      <c r="E591" s="257"/>
      <c r="F591" s="257"/>
      <c r="G591" s="257"/>
      <c r="H591" s="257"/>
      <c r="I591" s="257"/>
      <c r="J591" s="257"/>
      <c r="K591" s="257"/>
    </row>
    <row r="592" spans="1:11" x14ac:dyDescent="0.25">
      <c r="A592" s="268"/>
      <c r="B592" s="268"/>
      <c r="C592" s="268"/>
      <c r="D592" s="257"/>
      <c r="E592" s="257"/>
      <c r="F592" s="257"/>
      <c r="G592" s="257"/>
      <c r="H592" s="257"/>
      <c r="I592" s="257"/>
      <c r="J592" s="257"/>
      <c r="K592" s="257"/>
    </row>
    <row r="593" spans="1:11" x14ac:dyDescent="0.25">
      <c r="A593" s="268"/>
      <c r="B593" s="268"/>
      <c r="C593" s="268"/>
      <c r="D593" s="257"/>
      <c r="E593" s="257"/>
      <c r="F593" s="257"/>
      <c r="G593" s="257"/>
      <c r="H593" s="257"/>
      <c r="I593" s="257"/>
      <c r="J593" s="257"/>
      <c r="K593" s="257"/>
    </row>
    <row r="594" spans="1:11" x14ac:dyDescent="0.25">
      <c r="A594" s="268"/>
      <c r="B594" s="268"/>
      <c r="C594" s="268"/>
      <c r="D594" s="257"/>
      <c r="E594" s="257"/>
      <c r="F594" s="257"/>
      <c r="G594" s="257"/>
      <c r="H594" s="257"/>
      <c r="I594" s="257"/>
      <c r="J594" s="257"/>
      <c r="K594" s="257"/>
    </row>
    <row r="595" spans="1:11" x14ac:dyDescent="0.25">
      <c r="A595" s="268"/>
      <c r="B595" s="268"/>
      <c r="C595" s="268"/>
      <c r="D595" s="257"/>
      <c r="E595" s="257"/>
      <c r="F595" s="257"/>
      <c r="G595" s="257"/>
      <c r="H595" s="257"/>
      <c r="I595" s="257"/>
      <c r="J595" s="257"/>
      <c r="K595" s="257"/>
    </row>
    <row r="596" spans="1:11" x14ac:dyDescent="0.25">
      <c r="A596" s="268"/>
      <c r="B596" s="268"/>
      <c r="C596" s="268"/>
      <c r="D596" s="257"/>
      <c r="E596" s="257"/>
      <c r="F596" s="257"/>
      <c r="G596" s="257"/>
      <c r="H596" s="257"/>
      <c r="I596" s="257"/>
      <c r="J596" s="257"/>
      <c r="K596" s="257"/>
    </row>
    <row r="597" spans="1:11" x14ac:dyDescent="0.25">
      <c r="A597" s="268"/>
      <c r="B597" s="268"/>
      <c r="C597" s="268"/>
      <c r="D597" s="257"/>
      <c r="E597" s="257"/>
      <c r="F597" s="257"/>
      <c r="G597" s="257"/>
      <c r="H597" s="257"/>
      <c r="I597" s="257"/>
      <c r="J597" s="257"/>
      <c r="K597" s="257"/>
    </row>
    <row r="598" spans="1:11" x14ac:dyDescent="0.25">
      <c r="A598" s="268"/>
      <c r="B598" s="268"/>
      <c r="C598" s="268"/>
      <c r="D598" s="257"/>
      <c r="E598" s="257"/>
      <c r="F598" s="257"/>
      <c r="G598" s="257"/>
      <c r="H598" s="257"/>
      <c r="I598" s="257"/>
      <c r="J598" s="257"/>
      <c r="K598" s="257"/>
    </row>
    <row r="599" spans="1:11" x14ac:dyDescent="0.25">
      <c r="A599" s="268"/>
      <c r="B599" s="268"/>
      <c r="C599" s="268"/>
      <c r="D599" s="257"/>
      <c r="E599" s="257"/>
      <c r="F599" s="257"/>
      <c r="G599" s="257"/>
      <c r="H599" s="257"/>
      <c r="I599" s="257"/>
      <c r="J599" s="257"/>
      <c r="K599" s="257"/>
    </row>
    <row r="600" spans="1:11" x14ac:dyDescent="0.25">
      <c r="A600" s="268"/>
      <c r="B600" s="268"/>
      <c r="C600" s="268"/>
      <c r="D600" s="257"/>
      <c r="E600" s="257"/>
      <c r="F600" s="257"/>
      <c r="G600" s="257"/>
      <c r="H600" s="257"/>
      <c r="I600" s="257"/>
      <c r="J600" s="257"/>
      <c r="K600" s="257"/>
    </row>
    <row r="601" spans="1:11" x14ac:dyDescent="0.25">
      <c r="A601" s="268"/>
      <c r="B601" s="268"/>
      <c r="C601" s="268"/>
      <c r="D601" s="257"/>
      <c r="E601" s="257"/>
      <c r="F601" s="257"/>
      <c r="G601" s="257"/>
      <c r="H601" s="257"/>
      <c r="I601" s="257"/>
      <c r="J601" s="257"/>
      <c r="K601" s="257"/>
    </row>
    <row r="602" spans="1:11" x14ac:dyDescent="0.25">
      <c r="A602" s="268"/>
      <c r="B602" s="268"/>
      <c r="C602" s="268"/>
      <c r="D602" s="257"/>
      <c r="E602" s="257"/>
      <c r="F602" s="257"/>
      <c r="G602" s="257"/>
      <c r="H602" s="257"/>
      <c r="I602" s="257"/>
      <c r="J602" s="257"/>
      <c r="K602" s="257"/>
    </row>
    <row r="603" spans="1:11" x14ac:dyDescent="0.25">
      <c r="A603" s="268"/>
      <c r="B603" s="268"/>
      <c r="C603" s="268"/>
      <c r="D603" s="257"/>
      <c r="E603" s="257"/>
      <c r="F603" s="257"/>
      <c r="G603" s="257"/>
      <c r="H603" s="257"/>
      <c r="I603" s="257"/>
      <c r="J603" s="257"/>
      <c r="K603" s="257"/>
    </row>
    <row r="604" spans="1:11" x14ac:dyDescent="0.25">
      <c r="A604" s="268"/>
      <c r="B604" s="268"/>
      <c r="C604" s="268"/>
      <c r="D604" s="257"/>
      <c r="E604" s="257"/>
      <c r="F604" s="257"/>
      <c r="G604" s="257"/>
      <c r="H604" s="257"/>
      <c r="I604" s="257"/>
      <c r="J604" s="257"/>
      <c r="K604" s="257"/>
    </row>
    <row r="605" spans="1:11" x14ac:dyDescent="0.25">
      <c r="A605" s="268"/>
      <c r="B605" s="268"/>
      <c r="C605" s="268"/>
      <c r="D605" s="257"/>
      <c r="E605" s="257"/>
      <c r="F605" s="257"/>
      <c r="G605" s="257"/>
      <c r="H605" s="257"/>
      <c r="I605" s="257"/>
      <c r="J605" s="257"/>
      <c r="K605" s="257"/>
    </row>
    <row r="606" spans="1:11" x14ac:dyDescent="0.25">
      <c r="A606" s="268"/>
      <c r="B606" s="268"/>
      <c r="C606" s="268"/>
      <c r="D606" s="257"/>
      <c r="E606" s="257"/>
      <c r="F606" s="257"/>
      <c r="G606" s="257"/>
      <c r="H606" s="257"/>
      <c r="I606" s="257"/>
      <c r="J606" s="257"/>
      <c r="K606" s="257"/>
    </row>
    <row r="607" spans="1:11" x14ac:dyDescent="0.25">
      <c r="A607" s="268"/>
      <c r="B607" s="268"/>
      <c r="C607" s="268"/>
      <c r="D607" s="257"/>
      <c r="E607" s="257"/>
      <c r="F607" s="257"/>
      <c r="G607" s="257"/>
      <c r="H607" s="257"/>
      <c r="I607" s="257"/>
      <c r="J607" s="257"/>
      <c r="K607" s="257"/>
    </row>
    <row r="608" spans="1:11" x14ac:dyDescent="0.25">
      <c r="A608" s="268"/>
      <c r="B608" s="268"/>
      <c r="C608" s="268"/>
      <c r="D608" s="257"/>
      <c r="E608" s="257"/>
      <c r="F608" s="257"/>
      <c r="G608" s="257"/>
      <c r="H608" s="257"/>
      <c r="I608" s="257"/>
      <c r="J608" s="257"/>
      <c r="K608" s="257"/>
    </row>
    <row r="609" spans="1:11" x14ac:dyDescent="0.25">
      <c r="A609" s="268"/>
      <c r="B609" s="268"/>
      <c r="C609" s="268"/>
      <c r="D609" s="257"/>
      <c r="E609" s="257"/>
      <c r="F609" s="257"/>
      <c r="G609" s="257"/>
      <c r="H609" s="257"/>
      <c r="I609" s="257"/>
      <c r="J609" s="257"/>
      <c r="K609" s="257"/>
    </row>
    <row r="610" spans="1:11" x14ac:dyDescent="0.25">
      <c r="A610" s="268"/>
      <c r="B610" s="268"/>
      <c r="C610" s="268"/>
      <c r="D610" s="257"/>
      <c r="E610" s="257"/>
      <c r="F610" s="257"/>
      <c r="G610" s="257"/>
      <c r="H610" s="257"/>
      <c r="I610" s="257"/>
      <c r="J610" s="257"/>
      <c r="K610" s="257"/>
    </row>
    <row r="611" spans="1:11" x14ac:dyDescent="0.25">
      <c r="A611" s="268"/>
      <c r="B611" s="268"/>
      <c r="C611" s="268"/>
      <c r="D611" s="257"/>
      <c r="E611" s="257"/>
      <c r="F611" s="257"/>
      <c r="G611" s="257"/>
      <c r="H611" s="257"/>
      <c r="I611" s="257"/>
      <c r="J611" s="257"/>
      <c r="K611" s="257"/>
    </row>
    <row r="612" spans="1:11" x14ac:dyDescent="0.25">
      <c r="A612" s="268"/>
      <c r="B612" s="268"/>
      <c r="C612" s="268"/>
      <c r="D612" s="257"/>
      <c r="E612" s="257"/>
      <c r="F612" s="257"/>
      <c r="G612" s="257"/>
      <c r="H612" s="257"/>
      <c r="I612" s="257"/>
      <c r="J612" s="257"/>
      <c r="K612" s="257"/>
    </row>
    <row r="613" spans="1:11" x14ac:dyDescent="0.25">
      <c r="A613" s="268"/>
      <c r="B613" s="268"/>
      <c r="C613" s="268"/>
      <c r="D613" s="257"/>
      <c r="E613" s="257"/>
      <c r="F613" s="257"/>
      <c r="G613" s="257"/>
      <c r="H613" s="257"/>
      <c r="I613" s="257"/>
      <c r="J613" s="257"/>
      <c r="K613" s="257"/>
    </row>
    <row r="614" spans="1:11" x14ac:dyDescent="0.25">
      <c r="A614" s="268"/>
      <c r="B614" s="268"/>
      <c r="C614" s="268"/>
      <c r="D614" s="257"/>
      <c r="E614" s="257"/>
      <c r="F614" s="257"/>
      <c r="G614" s="257"/>
      <c r="H614" s="257"/>
      <c r="I614" s="257"/>
      <c r="J614" s="257"/>
      <c r="K614" s="257"/>
    </row>
    <row r="615" spans="1:11" x14ac:dyDescent="0.25">
      <c r="A615" s="268"/>
      <c r="B615" s="268"/>
      <c r="C615" s="268"/>
      <c r="D615" s="257"/>
      <c r="E615" s="257"/>
      <c r="F615" s="257"/>
      <c r="G615" s="257"/>
      <c r="H615" s="257"/>
      <c r="I615" s="257"/>
      <c r="J615" s="257"/>
      <c r="K615" s="257"/>
    </row>
    <row r="616" spans="1:11" x14ac:dyDescent="0.25">
      <c r="A616" s="268"/>
      <c r="B616" s="268"/>
      <c r="C616" s="268"/>
      <c r="D616" s="257"/>
      <c r="E616" s="257"/>
      <c r="F616" s="257"/>
      <c r="G616" s="257"/>
      <c r="H616" s="257"/>
      <c r="I616" s="257"/>
      <c r="J616" s="257"/>
      <c r="K616" s="257"/>
    </row>
    <row r="617" spans="1:11" x14ac:dyDescent="0.25">
      <c r="A617" s="268"/>
      <c r="B617" s="268"/>
      <c r="C617" s="268"/>
      <c r="D617" s="257"/>
      <c r="E617" s="257"/>
      <c r="F617" s="257"/>
      <c r="G617" s="257"/>
      <c r="H617" s="257"/>
      <c r="I617" s="257"/>
      <c r="J617" s="257"/>
      <c r="K617" s="257"/>
    </row>
    <row r="618" spans="1:11" x14ac:dyDescent="0.25">
      <c r="A618" s="268"/>
      <c r="B618" s="268"/>
      <c r="C618" s="268"/>
      <c r="D618" s="257"/>
      <c r="E618" s="257"/>
      <c r="F618" s="257"/>
      <c r="G618" s="257"/>
      <c r="H618" s="257"/>
      <c r="I618" s="257"/>
      <c r="J618" s="257"/>
      <c r="K618" s="257"/>
    </row>
    <row r="619" spans="1:11" x14ac:dyDescent="0.25">
      <c r="A619" s="268"/>
      <c r="B619" s="268"/>
      <c r="C619" s="268"/>
      <c r="D619" s="257"/>
      <c r="E619" s="257"/>
      <c r="F619" s="257"/>
      <c r="G619" s="257"/>
      <c r="H619" s="257"/>
      <c r="I619" s="257"/>
      <c r="J619" s="257"/>
      <c r="K619" s="257"/>
    </row>
    <row r="620" spans="1:11" x14ac:dyDescent="0.25">
      <c r="A620" s="268"/>
      <c r="B620" s="268"/>
      <c r="C620" s="268"/>
      <c r="D620" s="257"/>
      <c r="E620" s="257"/>
      <c r="F620" s="257"/>
      <c r="G620" s="257"/>
      <c r="H620" s="257"/>
      <c r="I620" s="257"/>
      <c r="J620" s="257"/>
      <c r="K620" s="257"/>
    </row>
    <row r="621" spans="1:11" x14ac:dyDescent="0.25">
      <c r="A621" s="268"/>
      <c r="B621" s="268"/>
      <c r="C621" s="268"/>
      <c r="D621" s="257"/>
      <c r="E621" s="257"/>
      <c r="F621" s="257"/>
      <c r="G621" s="257"/>
      <c r="H621" s="257"/>
      <c r="I621" s="257"/>
      <c r="J621" s="257"/>
      <c r="K621" s="257"/>
    </row>
    <row r="622" spans="1:11" x14ac:dyDescent="0.25">
      <c r="A622" s="268"/>
      <c r="B622" s="268"/>
      <c r="C622" s="268"/>
      <c r="D622" s="257"/>
      <c r="E622" s="257"/>
      <c r="F622" s="257"/>
      <c r="G622" s="257"/>
      <c r="H622" s="257"/>
      <c r="I622" s="257"/>
      <c r="J622" s="257"/>
      <c r="K622" s="257"/>
    </row>
    <row r="623" spans="1:11" x14ac:dyDescent="0.25">
      <c r="A623" s="268"/>
      <c r="B623" s="268"/>
      <c r="C623" s="268"/>
      <c r="D623" s="257"/>
      <c r="E623" s="257"/>
      <c r="F623" s="257"/>
      <c r="G623" s="257"/>
      <c r="H623" s="257"/>
      <c r="I623" s="257"/>
      <c r="J623" s="257"/>
      <c r="K623" s="257"/>
    </row>
    <row r="624" spans="1:11" x14ac:dyDescent="0.25">
      <c r="A624" s="268"/>
      <c r="B624" s="268"/>
      <c r="C624" s="268"/>
      <c r="D624" s="257"/>
      <c r="E624" s="257"/>
      <c r="F624" s="257"/>
      <c r="G624" s="257"/>
      <c r="H624" s="257"/>
      <c r="I624" s="257"/>
      <c r="J624" s="257"/>
      <c r="K624" s="257"/>
    </row>
    <row r="625" spans="1:11" x14ac:dyDescent="0.25">
      <c r="A625" s="268"/>
      <c r="B625" s="268"/>
      <c r="C625" s="268"/>
      <c r="D625" s="257"/>
      <c r="E625" s="257"/>
      <c r="F625" s="257"/>
      <c r="G625" s="257"/>
      <c r="H625" s="257"/>
      <c r="I625" s="257"/>
      <c r="J625" s="257"/>
      <c r="K625" s="257"/>
    </row>
    <row r="626" spans="1:11" x14ac:dyDescent="0.25">
      <c r="A626" s="268"/>
      <c r="B626" s="268"/>
      <c r="C626" s="268"/>
      <c r="D626" s="257"/>
      <c r="E626" s="257"/>
      <c r="F626" s="257"/>
      <c r="G626" s="257"/>
      <c r="H626" s="257"/>
      <c r="I626" s="257"/>
      <c r="J626" s="257"/>
      <c r="K626" s="257"/>
    </row>
    <row r="627" spans="1:11" x14ac:dyDescent="0.25">
      <c r="A627" s="268"/>
      <c r="B627" s="268"/>
      <c r="C627" s="268"/>
      <c r="D627" s="257"/>
      <c r="E627" s="257"/>
      <c r="F627" s="257"/>
      <c r="G627" s="257"/>
      <c r="H627" s="257"/>
      <c r="I627" s="257"/>
      <c r="J627" s="257"/>
      <c r="K627" s="257"/>
    </row>
    <row r="628" spans="1:11" x14ac:dyDescent="0.25">
      <c r="A628" s="268"/>
      <c r="B628" s="268"/>
      <c r="C628" s="268"/>
      <c r="D628" s="257"/>
      <c r="E628" s="257"/>
      <c r="F628" s="257"/>
      <c r="G628" s="257"/>
      <c r="H628" s="257"/>
      <c r="I628" s="257"/>
      <c r="J628" s="257"/>
      <c r="K628" s="257"/>
    </row>
    <row r="629" spans="1:11" x14ac:dyDescent="0.25">
      <c r="A629" s="268"/>
      <c r="B629" s="268"/>
      <c r="C629" s="268"/>
      <c r="D629" s="257"/>
      <c r="E629" s="257"/>
      <c r="F629" s="257"/>
      <c r="G629" s="257"/>
      <c r="H629" s="257"/>
      <c r="I629" s="257"/>
      <c r="J629" s="257"/>
      <c r="K629" s="257"/>
    </row>
    <row r="630" spans="1:11" x14ac:dyDescent="0.25">
      <c r="A630" s="268"/>
      <c r="B630" s="268"/>
      <c r="C630" s="268"/>
      <c r="D630" s="257"/>
      <c r="E630" s="257"/>
      <c r="F630" s="257"/>
      <c r="G630" s="257"/>
      <c r="H630" s="257"/>
      <c r="I630" s="257"/>
      <c r="J630" s="257"/>
      <c r="K630" s="257"/>
    </row>
    <row r="631" spans="1:11" x14ac:dyDescent="0.25">
      <c r="A631" s="268"/>
      <c r="B631" s="268"/>
      <c r="C631" s="268"/>
      <c r="D631" s="257"/>
      <c r="E631" s="257"/>
      <c r="F631" s="257"/>
      <c r="G631" s="257"/>
      <c r="H631" s="257"/>
      <c r="I631" s="257"/>
      <c r="J631" s="257"/>
      <c r="K631" s="257"/>
    </row>
    <row r="632" spans="1:11" x14ac:dyDescent="0.25">
      <c r="A632" s="268"/>
      <c r="B632" s="268"/>
      <c r="C632" s="268"/>
      <c r="D632" s="257"/>
      <c r="E632" s="257"/>
      <c r="F632" s="257"/>
      <c r="G632" s="257"/>
      <c r="H632" s="257"/>
      <c r="I632" s="257"/>
      <c r="J632" s="257"/>
      <c r="K632" s="257"/>
    </row>
    <row r="633" spans="1:11" x14ac:dyDescent="0.25">
      <c r="A633" s="268"/>
      <c r="B633" s="268"/>
      <c r="C633" s="268"/>
      <c r="D633" s="257"/>
      <c r="E633" s="257"/>
      <c r="F633" s="257"/>
      <c r="G633" s="257"/>
      <c r="H633" s="257"/>
      <c r="I633" s="257"/>
      <c r="J633" s="257"/>
      <c r="K633" s="257"/>
    </row>
    <row r="634" spans="1:11" x14ac:dyDescent="0.25">
      <c r="A634" s="268"/>
      <c r="B634" s="268"/>
      <c r="C634" s="268"/>
      <c r="D634" s="257"/>
      <c r="E634" s="257"/>
      <c r="F634" s="257"/>
      <c r="G634" s="257"/>
      <c r="H634" s="257"/>
      <c r="I634" s="257"/>
      <c r="J634" s="257"/>
      <c r="K634" s="257"/>
    </row>
    <row r="635" spans="1:11" x14ac:dyDescent="0.25">
      <c r="A635" s="268"/>
      <c r="B635" s="268"/>
      <c r="C635" s="268"/>
      <c r="D635" s="257"/>
      <c r="E635" s="257"/>
      <c r="F635" s="257"/>
      <c r="G635" s="257"/>
      <c r="H635" s="257"/>
      <c r="I635" s="257"/>
      <c r="J635" s="257"/>
      <c r="K635" s="257"/>
    </row>
    <row r="636" spans="1:11" x14ac:dyDescent="0.25">
      <c r="A636" s="268"/>
      <c r="B636" s="268"/>
      <c r="C636" s="268"/>
      <c r="D636" s="257"/>
      <c r="E636" s="257"/>
      <c r="F636" s="257"/>
      <c r="G636" s="257"/>
      <c r="H636" s="257"/>
      <c r="I636" s="257"/>
      <c r="J636" s="257"/>
      <c r="K636" s="257"/>
    </row>
    <row r="637" spans="1:11" x14ac:dyDescent="0.25">
      <c r="A637" s="268"/>
      <c r="B637" s="268"/>
      <c r="C637" s="268"/>
      <c r="D637" s="257"/>
      <c r="E637" s="257"/>
      <c r="F637" s="257"/>
      <c r="G637" s="257"/>
      <c r="H637" s="257"/>
      <c r="I637" s="257"/>
      <c r="J637" s="257"/>
      <c r="K637" s="257"/>
    </row>
    <row r="638" spans="1:11" x14ac:dyDescent="0.25">
      <c r="A638" s="268"/>
      <c r="B638" s="268"/>
      <c r="C638" s="268"/>
      <c r="D638" s="257"/>
      <c r="E638" s="257"/>
      <c r="F638" s="257"/>
      <c r="G638" s="257"/>
      <c r="H638" s="257"/>
      <c r="I638" s="257"/>
      <c r="J638" s="257"/>
      <c r="K638" s="257"/>
    </row>
    <row r="639" spans="1:11" x14ac:dyDescent="0.25">
      <c r="A639" s="268"/>
      <c r="B639" s="268"/>
      <c r="C639" s="268"/>
      <c r="D639" s="257"/>
      <c r="E639" s="257"/>
      <c r="F639" s="257"/>
      <c r="G639" s="257"/>
      <c r="H639" s="257"/>
      <c r="I639" s="257"/>
      <c r="J639" s="257"/>
      <c r="K639" s="257"/>
    </row>
    <row r="640" spans="1:11" x14ac:dyDescent="0.25">
      <c r="A640" s="268"/>
      <c r="B640" s="268"/>
      <c r="C640" s="268"/>
      <c r="D640" s="257"/>
      <c r="E640" s="257"/>
      <c r="F640" s="257"/>
      <c r="G640" s="257"/>
      <c r="H640" s="257"/>
      <c r="I640" s="257"/>
      <c r="J640" s="257"/>
      <c r="K640" s="257"/>
    </row>
    <row r="641" spans="1:11" x14ac:dyDescent="0.25">
      <c r="A641" s="268"/>
      <c r="B641" s="268"/>
      <c r="C641" s="268"/>
      <c r="D641" s="257"/>
      <c r="E641" s="257"/>
      <c r="F641" s="257"/>
      <c r="G641" s="257"/>
      <c r="H641" s="257"/>
      <c r="I641" s="257"/>
      <c r="J641" s="257"/>
      <c r="K641" s="257"/>
    </row>
    <row r="642" spans="1:11" x14ac:dyDescent="0.25">
      <c r="A642" s="268"/>
      <c r="B642" s="268"/>
      <c r="C642" s="268"/>
      <c r="D642" s="257"/>
      <c r="E642" s="257"/>
      <c r="F642" s="257"/>
      <c r="G642" s="257"/>
      <c r="H642" s="257"/>
      <c r="I642" s="257"/>
      <c r="J642" s="257"/>
      <c r="K642" s="257"/>
    </row>
    <row r="643" spans="1:11" x14ac:dyDescent="0.25">
      <c r="A643" s="268"/>
      <c r="B643" s="268"/>
      <c r="C643" s="268"/>
      <c r="D643" s="257"/>
      <c r="E643" s="257"/>
      <c r="F643" s="257"/>
      <c r="G643" s="257"/>
      <c r="H643" s="257"/>
      <c r="I643" s="257"/>
      <c r="J643" s="257"/>
      <c r="K643" s="257"/>
    </row>
    <row r="644" spans="1:11" x14ac:dyDescent="0.25">
      <c r="A644" s="268"/>
      <c r="B644" s="268"/>
      <c r="C644" s="268"/>
      <c r="D644" s="257"/>
      <c r="E644" s="257"/>
      <c r="F644" s="257"/>
      <c r="G644" s="257"/>
      <c r="H644" s="257"/>
      <c r="I644" s="257"/>
      <c r="J644" s="257"/>
      <c r="K644" s="257"/>
    </row>
    <row r="645" spans="1:11" x14ac:dyDescent="0.25">
      <c r="A645" s="268"/>
      <c r="B645" s="268"/>
      <c r="C645" s="268"/>
      <c r="D645" s="257"/>
      <c r="E645" s="257"/>
      <c r="F645" s="257"/>
      <c r="G645" s="257"/>
      <c r="H645" s="257"/>
      <c r="I645" s="257"/>
      <c r="J645" s="257"/>
      <c r="K645" s="257"/>
    </row>
    <row r="646" spans="1:11" x14ac:dyDescent="0.25">
      <c r="A646" s="268"/>
      <c r="B646" s="268"/>
      <c r="C646" s="268"/>
      <c r="D646" s="257"/>
      <c r="E646" s="257"/>
      <c r="F646" s="257"/>
      <c r="G646" s="257"/>
      <c r="H646" s="257"/>
      <c r="I646" s="257"/>
      <c r="J646" s="257"/>
      <c r="K646" s="257"/>
    </row>
    <row r="647" spans="1:11" x14ac:dyDescent="0.25">
      <c r="A647" s="268"/>
      <c r="B647" s="268"/>
      <c r="C647" s="268"/>
      <c r="D647" s="257"/>
      <c r="E647" s="257"/>
      <c r="F647" s="257"/>
      <c r="G647" s="257"/>
      <c r="H647" s="257"/>
      <c r="I647" s="257"/>
      <c r="J647" s="257"/>
      <c r="K647" s="257"/>
    </row>
    <row r="648" spans="1:11" x14ac:dyDescent="0.25">
      <c r="A648" s="268"/>
      <c r="B648" s="268"/>
      <c r="C648" s="268"/>
      <c r="D648" s="257"/>
      <c r="E648" s="257"/>
      <c r="F648" s="257"/>
      <c r="G648" s="257"/>
      <c r="H648" s="257"/>
      <c r="I648" s="257"/>
      <c r="J648" s="257"/>
      <c r="K648" s="257"/>
    </row>
    <row r="649" spans="1:11" x14ac:dyDescent="0.25">
      <c r="A649" s="268"/>
      <c r="B649" s="268"/>
      <c r="C649" s="268"/>
      <c r="D649" s="257"/>
      <c r="E649" s="257"/>
      <c r="F649" s="257"/>
      <c r="G649" s="257"/>
      <c r="H649" s="257"/>
      <c r="I649" s="257"/>
      <c r="J649" s="257"/>
      <c r="K649" s="257"/>
    </row>
    <row r="650" spans="1:11" x14ac:dyDescent="0.25">
      <c r="A650" s="268"/>
      <c r="B650" s="268"/>
      <c r="C650" s="268"/>
      <c r="D650" s="257"/>
      <c r="E650" s="257"/>
      <c r="F650" s="257"/>
      <c r="G650" s="257"/>
      <c r="H650" s="257"/>
      <c r="I650" s="257"/>
      <c r="J650" s="257"/>
      <c r="K650" s="257"/>
    </row>
    <row r="651" spans="1:11" x14ac:dyDescent="0.25">
      <c r="A651" s="268"/>
      <c r="B651" s="268"/>
      <c r="C651" s="268"/>
      <c r="D651" s="257"/>
      <c r="E651" s="257"/>
      <c r="F651" s="257"/>
      <c r="G651" s="257"/>
      <c r="H651" s="257"/>
      <c r="I651" s="257"/>
      <c r="J651" s="257"/>
      <c r="K651" s="257"/>
    </row>
    <row r="652" spans="1:11" x14ac:dyDescent="0.25">
      <c r="A652" s="268"/>
      <c r="B652" s="268"/>
      <c r="C652" s="268"/>
      <c r="D652" s="257"/>
      <c r="E652" s="257"/>
      <c r="F652" s="257"/>
      <c r="G652" s="257"/>
      <c r="H652" s="257"/>
      <c r="I652" s="257"/>
      <c r="J652" s="257"/>
      <c r="K652" s="257"/>
    </row>
    <row r="653" spans="1:11" x14ac:dyDescent="0.25">
      <c r="A653" s="268"/>
      <c r="B653" s="268"/>
      <c r="C653" s="268"/>
      <c r="D653" s="257"/>
      <c r="E653" s="257"/>
      <c r="F653" s="257"/>
      <c r="G653" s="257"/>
      <c r="H653" s="257"/>
      <c r="I653" s="257"/>
      <c r="J653" s="257"/>
      <c r="K653" s="257"/>
    </row>
    <row r="654" spans="1:11" x14ac:dyDescent="0.25">
      <c r="A654" s="268"/>
      <c r="B654" s="268"/>
      <c r="C654" s="268"/>
      <c r="D654" s="257"/>
      <c r="E654" s="257"/>
      <c r="F654" s="257"/>
      <c r="G654" s="257"/>
      <c r="H654" s="257"/>
      <c r="I654" s="257"/>
      <c r="J654" s="257"/>
      <c r="K654" s="257"/>
    </row>
    <row r="655" spans="1:11" x14ac:dyDescent="0.25">
      <c r="A655" s="268"/>
      <c r="B655" s="268"/>
      <c r="C655" s="268"/>
      <c r="D655" s="257"/>
      <c r="E655" s="257"/>
      <c r="F655" s="257"/>
      <c r="G655" s="257"/>
      <c r="H655" s="257"/>
      <c r="I655" s="257"/>
      <c r="J655" s="257"/>
      <c r="K655" s="257"/>
    </row>
    <row r="656" spans="1:11" x14ac:dyDescent="0.25">
      <c r="A656" s="268"/>
      <c r="B656" s="268"/>
      <c r="C656" s="268"/>
      <c r="D656" s="257"/>
      <c r="E656" s="257"/>
      <c r="F656" s="257"/>
      <c r="G656" s="257"/>
      <c r="H656" s="257"/>
      <c r="I656" s="257"/>
      <c r="J656" s="257"/>
      <c r="K656" s="257"/>
    </row>
    <row r="657" spans="1:11" x14ac:dyDescent="0.25">
      <c r="A657" s="268"/>
      <c r="B657" s="268"/>
      <c r="C657" s="268"/>
      <c r="D657" s="257"/>
      <c r="E657" s="257"/>
      <c r="F657" s="257"/>
      <c r="G657" s="257"/>
      <c r="H657" s="257"/>
      <c r="I657" s="257"/>
      <c r="J657" s="257"/>
      <c r="K657" s="257"/>
    </row>
    <row r="658" spans="1:11" x14ac:dyDescent="0.25">
      <c r="A658" s="268"/>
      <c r="B658" s="268"/>
      <c r="C658" s="268"/>
      <c r="D658" s="257"/>
      <c r="E658" s="257"/>
      <c r="F658" s="257"/>
      <c r="G658" s="257"/>
      <c r="H658" s="257"/>
      <c r="I658" s="257"/>
      <c r="J658" s="257"/>
      <c r="K658" s="257"/>
    </row>
    <row r="659" spans="1:11" x14ac:dyDescent="0.25">
      <c r="A659" s="268"/>
      <c r="B659" s="268"/>
      <c r="C659" s="268"/>
      <c r="D659" s="257"/>
      <c r="E659" s="257"/>
      <c r="F659" s="257"/>
      <c r="G659" s="257"/>
      <c r="H659" s="257"/>
      <c r="I659" s="257"/>
      <c r="J659" s="257"/>
      <c r="K659" s="257"/>
    </row>
    <row r="660" spans="1:11" x14ac:dyDescent="0.25">
      <c r="A660" s="268"/>
      <c r="B660" s="268"/>
      <c r="C660" s="268"/>
      <c r="D660" s="257"/>
      <c r="E660" s="257"/>
      <c r="F660" s="257"/>
      <c r="G660" s="257"/>
      <c r="H660" s="257"/>
      <c r="I660" s="257"/>
      <c r="J660" s="257"/>
      <c r="K660" s="257"/>
    </row>
    <row r="661" spans="1:11" x14ac:dyDescent="0.25">
      <c r="A661" s="268"/>
      <c r="B661" s="268"/>
      <c r="C661" s="268"/>
      <c r="D661" s="257"/>
      <c r="E661" s="257"/>
      <c r="F661" s="257"/>
      <c r="G661" s="257"/>
      <c r="H661" s="257"/>
      <c r="I661" s="257"/>
      <c r="J661" s="257"/>
      <c r="K661" s="257"/>
    </row>
    <row r="662" spans="1:11" x14ac:dyDescent="0.25">
      <c r="A662" s="268"/>
      <c r="B662" s="268"/>
      <c r="C662" s="268"/>
      <c r="D662" s="257"/>
      <c r="E662" s="257"/>
      <c r="F662" s="257"/>
      <c r="G662" s="257"/>
      <c r="H662" s="257"/>
      <c r="I662" s="257"/>
      <c r="J662" s="257"/>
      <c r="K662" s="257"/>
    </row>
    <row r="663" spans="1:11" x14ac:dyDescent="0.25">
      <c r="A663" s="268"/>
      <c r="B663" s="268"/>
      <c r="C663" s="268"/>
      <c r="D663" s="257"/>
      <c r="E663" s="257"/>
      <c r="F663" s="257"/>
      <c r="G663" s="257"/>
      <c r="H663" s="257"/>
      <c r="I663" s="257"/>
      <c r="J663" s="257"/>
      <c r="K663" s="257"/>
    </row>
    <row r="664" spans="1:11" x14ac:dyDescent="0.25">
      <c r="A664" s="268"/>
      <c r="B664" s="268"/>
      <c r="C664" s="268"/>
      <c r="D664" s="257"/>
      <c r="E664" s="257"/>
      <c r="F664" s="257"/>
      <c r="G664" s="257"/>
      <c r="H664" s="257"/>
      <c r="I664" s="257"/>
      <c r="J664" s="257"/>
      <c r="K664" s="257"/>
    </row>
    <row r="665" spans="1:11" x14ac:dyDescent="0.25">
      <c r="A665" s="268"/>
      <c r="B665" s="268"/>
      <c r="C665" s="268"/>
      <c r="D665" s="257"/>
      <c r="E665" s="257"/>
      <c r="F665" s="257"/>
      <c r="G665" s="257"/>
      <c r="H665" s="257"/>
      <c r="I665" s="257"/>
      <c r="J665" s="257"/>
      <c r="K665" s="257"/>
    </row>
    <row r="666" spans="1:11" x14ac:dyDescent="0.25">
      <c r="A666" s="268"/>
      <c r="B666" s="268"/>
      <c r="C666" s="268"/>
      <c r="D666" s="257"/>
      <c r="E666" s="257"/>
      <c r="F666" s="257"/>
      <c r="G666" s="257"/>
      <c r="H666" s="257"/>
      <c r="I666" s="257"/>
      <c r="J666" s="257"/>
      <c r="K666" s="257"/>
    </row>
    <row r="667" spans="1:11" x14ac:dyDescent="0.25">
      <c r="A667" s="268"/>
      <c r="B667" s="268"/>
      <c r="C667" s="268"/>
      <c r="D667" s="257"/>
      <c r="E667" s="257"/>
      <c r="F667" s="257"/>
      <c r="G667" s="257"/>
      <c r="H667" s="257"/>
      <c r="I667" s="257"/>
      <c r="J667" s="257"/>
      <c r="K667" s="257"/>
    </row>
    <row r="668" spans="1:11" x14ac:dyDescent="0.25">
      <c r="A668" s="268"/>
      <c r="B668" s="268"/>
      <c r="C668" s="268"/>
      <c r="D668" s="257"/>
      <c r="E668" s="257"/>
      <c r="F668" s="257"/>
      <c r="G668" s="257"/>
      <c r="H668" s="257"/>
      <c r="I668" s="257"/>
      <c r="J668" s="257"/>
      <c r="K668" s="257"/>
    </row>
    <row r="669" spans="1:11" x14ac:dyDescent="0.25">
      <c r="A669" s="268"/>
      <c r="B669" s="268"/>
      <c r="C669" s="268"/>
      <c r="D669" s="257"/>
      <c r="E669" s="257"/>
      <c r="F669" s="257"/>
      <c r="G669" s="257"/>
      <c r="H669" s="257"/>
      <c r="I669" s="257"/>
      <c r="J669" s="257"/>
      <c r="K669" s="257"/>
    </row>
    <row r="670" spans="1:11" x14ac:dyDescent="0.25">
      <c r="A670" s="268"/>
      <c r="B670" s="268"/>
      <c r="C670" s="268"/>
      <c r="D670" s="257"/>
      <c r="E670" s="257"/>
      <c r="F670" s="257"/>
      <c r="G670" s="257"/>
      <c r="H670" s="257"/>
      <c r="I670" s="257"/>
      <c r="J670" s="257"/>
      <c r="K670" s="257"/>
    </row>
    <row r="671" spans="1:11" x14ac:dyDescent="0.25">
      <c r="A671" s="268"/>
      <c r="B671" s="268"/>
      <c r="C671" s="268"/>
      <c r="D671" s="257"/>
      <c r="E671" s="257"/>
      <c r="F671" s="257"/>
      <c r="G671" s="257"/>
      <c r="H671" s="257"/>
      <c r="I671" s="257"/>
      <c r="J671" s="257"/>
      <c r="K671" s="257"/>
    </row>
    <row r="672" spans="1:11" x14ac:dyDescent="0.25">
      <c r="A672" s="268"/>
      <c r="B672" s="268"/>
      <c r="C672" s="268"/>
      <c r="D672" s="257"/>
      <c r="E672" s="257"/>
      <c r="F672" s="257"/>
      <c r="G672" s="257"/>
      <c r="H672" s="257"/>
      <c r="I672" s="257"/>
      <c r="J672" s="257"/>
      <c r="K672" s="257"/>
    </row>
    <row r="673" spans="1:11" x14ac:dyDescent="0.25">
      <c r="A673" s="268"/>
      <c r="B673" s="268"/>
      <c r="C673" s="268"/>
      <c r="D673" s="257"/>
      <c r="E673" s="257"/>
      <c r="F673" s="257"/>
      <c r="G673" s="257"/>
      <c r="H673" s="257"/>
      <c r="I673" s="257"/>
      <c r="J673" s="257"/>
      <c r="K673" s="257"/>
    </row>
    <row r="674" spans="1:11" x14ac:dyDescent="0.25">
      <c r="A674" s="268"/>
      <c r="B674" s="268"/>
      <c r="C674" s="268"/>
      <c r="D674" s="257"/>
      <c r="E674" s="257"/>
      <c r="F674" s="257"/>
      <c r="G674" s="257"/>
      <c r="H674" s="257"/>
      <c r="I674" s="257"/>
      <c r="J674" s="257"/>
      <c r="K674" s="257"/>
    </row>
    <row r="675" spans="1:11" x14ac:dyDescent="0.25">
      <c r="A675" s="268"/>
      <c r="B675" s="268"/>
      <c r="C675" s="268"/>
      <c r="D675" s="257"/>
      <c r="E675" s="257"/>
      <c r="F675" s="257"/>
      <c r="G675" s="257"/>
      <c r="H675" s="257"/>
      <c r="I675" s="257"/>
      <c r="J675" s="257"/>
      <c r="K675" s="257"/>
    </row>
    <row r="676" spans="1:11" x14ac:dyDescent="0.25">
      <c r="A676" s="268"/>
      <c r="B676" s="268"/>
      <c r="C676" s="268"/>
      <c r="D676" s="257"/>
      <c r="E676" s="257"/>
      <c r="F676" s="257"/>
      <c r="G676" s="257"/>
      <c r="H676" s="257"/>
      <c r="I676" s="257"/>
      <c r="J676" s="257"/>
      <c r="K676" s="257"/>
    </row>
    <row r="677" spans="1:11" x14ac:dyDescent="0.25">
      <c r="A677" s="268"/>
      <c r="B677" s="268"/>
      <c r="C677" s="268"/>
      <c r="D677" s="257"/>
      <c r="E677" s="257"/>
      <c r="F677" s="257"/>
      <c r="G677" s="257"/>
      <c r="H677" s="257"/>
      <c r="I677" s="257"/>
      <c r="J677" s="257"/>
      <c r="K677" s="257"/>
    </row>
    <row r="678" spans="1:11" x14ac:dyDescent="0.25">
      <c r="A678" s="268"/>
      <c r="B678" s="268"/>
      <c r="C678" s="268"/>
      <c r="D678" s="257"/>
      <c r="E678" s="257"/>
      <c r="F678" s="257"/>
      <c r="G678" s="257"/>
      <c r="H678" s="257"/>
      <c r="I678" s="257"/>
      <c r="J678" s="257"/>
      <c r="K678" s="257"/>
    </row>
    <row r="679" spans="1:11" x14ac:dyDescent="0.25">
      <c r="A679" s="268"/>
      <c r="B679" s="268"/>
      <c r="C679" s="268"/>
      <c r="D679" s="257"/>
      <c r="E679" s="257"/>
      <c r="F679" s="257"/>
      <c r="G679" s="257"/>
      <c r="H679" s="257"/>
      <c r="I679" s="257"/>
      <c r="J679" s="257"/>
      <c r="K679" s="257"/>
    </row>
    <row r="680" spans="1:11" x14ac:dyDescent="0.25">
      <c r="A680" s="268"/>
      <c r="B680" s="268"/>
      <c r="C680" s="268"/>
      <c r="D680" s="257"/>
      <c r="E680" s="257"/>
      <c r="F680" s="257"/>
      <c r="G680" s="257"/>
      <c r="H680" s="257"/>
      <c r="I680" s="257"/>
      <c r="J680" s="257"/>
      <c r="K680" s="257"/>
    </row>
    <row r="681" spans="1:11" x14ac:dyDescent="0.25">
      <c r="A681" s="268"/>
      <c r="B681" s="268"/>
      <c r="C681" s="268"/>
      <c r="D681" s="257"/>
      <c r="E681" s="257"/>
      <c r="F681" s="257"/>
      <c r="G681" s="257"/>
      <c r="H681" s="257"/>
      <c r="I681" s="257"/>
      <c r="J681" s="257"/>
      <c r="K681" s="257"/>
    </row>
    <row r="682" spans="1:11" x14ac:dyDescent="0.25">
      <c r="A682" s="268"/>
      <c r="B682" s="268"/>
      <c r="C682" s="268"/>
      <c r="D682" s="257"/>
      <c r="E682" s="257"/>
      <c r="F682" s="257"/>
      <c r="G682" s="257"/>
      <c r="H682" s="257"/>
      <c r="I682" s="257"/>
      <c r="J682" s="257"/>
      <c r="K682" s="257"/>
    </row>
    <row r="683" spans="1:11" x14ac:dyDescent="0.25">
      <c r="A683" s="268"/>
      <c r="B683" s="268"/>
      <c r="C683" s="268"/>
      <c r="D683" s="257"/>
      <c r="E683" s="257"/>
      <c r="F683" s="257"/>
      <c r="G683" s="257"/>
      <c r="H683" s="257"/>
      <c r="I683" s="257"/>
      <c r="J683" s="257"/>
      <c r="K683" s="257"/>
    </row>
    <row r="684" spans="1:11" x14ac:dyDescent="0.25">
      <c r="A684" s="268"/>
      <c r="B684" s="268"/>
      <c r="C684" s="268"/>
      <c r="D684" s="257"/>
      <c r="E684" s="257"/>
      <c r="F684" s="257"/>
      <c r="G684" s="257"/>
      <c r="H684" s="257"/>
      <c r="I684" s="257"/>
      <c r="J684" s="257"/>
      <c r="K684" s="257"/>
    </row>
    <row r="685" spans="1:11" x14ac:dyDescent="0.25">
      <c r="A685" s="268"/>
      <c r="B685" s="268"/>
      <c r="C685" s="268"/>
      <c r="D685" s="257"/>
      <c r="E685" s="257"/>
      <c r="F685" s="257"/>
      <c r="G685" s="257"/>
      <c r="H685" s="257"/>
      <c r="I685" s="257"/>
      <c r="J685" s="257"/>
      <c r="K685" s="257"/>
    </row>
    <row r="686" spans="1:11" x14ac:dyDescent="0.25">
      <c r="A686" s="268"/>
      <c r="B686" s="268"/>
      <c r="C686" s="268"/>
      <c r="D686" s="257"/>
      <c r="E686" s="257"/>
      <c r="F686" s="257"/>
      <c r="G686" s="257"/>
      <c r="H686" s="257"/>
      <c r="I686" s="257"/>
      <c r="J686" s="257"/>
      <c r="K686" s="257"/>
    </row>
    <row r="687" spans="1:11" x14ac:dyDescent="0.25">
      <c r="A687" s="268"/>
      <c r="B687" s="268"/>
      <c r="C687" s="268"/>
      <c r="D687" s="257"/>
      <c r="E687" s="257"/>
      <c r="F687" s="257"/>
      <c r="G687" s="257"/>
      <c r="H687" s="257"/>
      <c r="I687" s="257"/>
      <c r="J687" s="257"/>
      <c r="K687" s="257"/>
    </row>
    <row r="688" spans="1:11" x14ac:dyDescent="0.25">
      <c r="A688" s="268"/>
      <c r="B688" s="268"/>
      <c r="C688" s="268"/>
      <c r="D688" s="257"/>
      <c r="E688" s="257"/>
      <c r="F688" s="257"/>
      <c r="G688" s="257"/>
      <c r="H688" s="257"/>
      <c r="I688" s="257"/>
      <c r="J688" s="257"/>
      <c r="K688" s="257"/>
    </row>
    <row r="689" spans="1:11" x14ac:dyDescent="0.25">
      <c r="A689" s="268"/>
      <c r="B689" s="268"/>
      <c r="C689" s="268"/>
      <c r="D689" s="257"/>
      <c r="E689" s="257"/>
      <c r="F689" s="257"/>
      <c r="G689" s="257"/>
      <c r="H689" s="257"/>
      <c r="I689" s="257"/>
      <c r="J689" s="257"/>
      <c r="K689" s="257"/>
    </row>
    <row r="690" spans="1:11" x14ac:dyDescent="0.25">
      <c r="A690" s="268"/>
      <c r="B690" s="268"/>
      <c r="C690" s="268"/>
      <c r="D690" s="257"/>
      <c r="E690" s="257"/>
      <c r="F690" s="257"/>
      <c r="G690" s="257"/>
      <c r="H690" s="257"/>
      <c r="I690" s="257"/>
      <c r="J690" s="257"/>
      <c r="K690" s="257"/>
    </row>
    <row r="691" spans="1:11" x14ac:dyDescent="0.25">
      <c r="A691" s="268"/>
      <c r="B691" s="268"/>
      <c r="C691" s="268"/>
      <c r="D691" s="257"/>
      <c r="E691" s="257"/>
      <c r="F691" s="257"/>
      <c r="G691" s="257"/>
      <c r="H691" s="257"/>
      <c r="I691" s="257"/>
      <c r="J691" s="257"/>
      <c r="K691" s="257"/>
    </row>
    <row r="692" spans="1:11" x14ac:dyDescent="0.25">
      <c r="A692" s="268"/>
      <c r="B692" s="268"/>
      <c r="C692" s="268"/>
      <c r="D692" s="257"/>
      <c r="E692" s="257"/>
      <c r="F692" s="257"/>
      <c r="G692" s="257"/>
      <c r="H692" s="257"/>
      <c r="I692" s="257"/>
      <c r="J692" s="257"/>
      <c r="K692" s="257"/>
    </row>
    <row r="693" spans="1:11" x14ac:dyDescent="0.25">
      <c r="A693" s="268"/>
      <c r="B693" s="268"/>
      <c r="C693" s="268"/>
      <c r="D693" s="257"/>
      <c r="E693" s="257"/>
      <c r="F693" s="257"/>
      <c r="G693" s="257"/>
      <c r="H693" s="257"/>
      <c r="I693" s="257"/>
      <c r="J693" s="257"/>
      <c r="K693" s="257"/>
    </row>
    <row r="694" spans="1:11" x14ac:dyDescent="0.25">
      <c r="A694" s="268"/>
      <c r="B694" s="268"/>
      <c r="C694" s="268"/>
      <c r="D694" s="257"/>
      <c r="E694" s="257"/>
      <c r="F694" s="257"/>
      <c r="G694" s="257"/>
      <c r="H694" s="257"/>
      <c r="I694" s="257"/>
      <c r="J694" s="257"/>
      <c r="K694" s="257"/>
    </row>
    <row r="695" spans="1:11" x14ac:dyDescent="0.25">
      <c r="A695" s="268"/>
      <c r="B695" s="268"/>
      <c r="C695" s="268"/>
      <c r="D695" s="257"/>
      <c r="E695" s="257"/>
      <c r="F695" s="257"/>
      <c r="G695" s="257"/>
      <c r="H695" s="257"/>
      <c r="I695" s="257"/>
      <c r="J695" s="257"/>
      <c r="K695" s="257"/>
    </row>
    <row r="696" spans="1:11" x14ac:dyDescent="0.25">
      <c r="A696" s="268"/>
      <c r="B696" s="268"/>
      <c r="C696" s="268"/>
      <c r="D696" s="257"/>
      <c r="E696" s="257"/>
      <c r="F696" s="257"/>
      <c r="G696" s="257"/>
      <c r="H696" s="257"/>
      <c r="I696" s="257"/>
      <c r="J696" s="257"/>
      <c r="K696" s="257"/>
    </row>
    <row r="697" spans="1:11" x14ac:dyDescent="0.25">
      <c r="A697" s="268"/>
      <c r="B697" s="268"/>
      <c r="C697" s="268"/>
      <c r="D697" s="257"/>
      <c r="E697" s="257"/>
      <c r="F697" s="257"/>
      <c r="G697" s="257"/>
      <c r="H697" s="257"/>
      <c r="I697" s="257"/>
      <c r="J697" s="257"/>
      <c r="K697" s="257"/>
    </row>
    <row r="698" spans="1:11" x14ac:dyDescent="0.25">
      <c r="A698" s="268"/>
      <c r="B698" s="268"/>
      <c r="C698" s="268"/>
      <c r="D698" s="257"/>
      <c r="E698" s="257"/>
      <c r="F698" s="257"/>
      <c r="G698" s="257"/>
      <c r="H698" s="257"/>
      <c r="I698" s="257"/>
      <c r="J698" s="257"/>
      <c r="K698" s="257"/>
    </row>
    <row r="699" spans="1:11" x14ac:dyDescent="0.25">
      <c r="A699" s="268"/>
      <c r="B699" s="268"/>
      <c r="C699" s="268"/>
      <c r="D699" s="257"/>
      <c r="E699" s="257"/>
      <c r="F699" s="257"/>
      <c r="G699" s="257"/>
      <c r="H699" s="257"/>
      <c r="I699" s="257"/>
      <c r="J699" s="257"/>
      <c r="K699" s="257"/>
    </row>
    <row r="700" spans="1:11" x14ac:dyDescent="0.25">
      <c r="A700" s="268"/>
      <c r="B700" s="268"/>
      <c r="C700" s="268"/>
      <c r="D700" s="257"/>
      <c r="E700" s="257"/>
      <c r="F700" s="257"/>
      <c r="G700" s="257"/>
      <c r="H700" s="257"/>
      <c r="I700" s="257"/>
      <c r="J700" s="257"/>
      <c r="K700" s="257"/>
    </row>
    <row r="701" spans="1:11" x14ac:dyDescent="0.25">
      <c r="A701" s="268"/>
      <c r="B701" s="268"/>
      <c r="C701" s="268"/>
      <c r="D701" s="257"/>
      <c r="E701" s="257"/>
      <c r="F701" s="257"/>
      <c r="G701" s="257"/>
      <c r="H701" s="257"/>
      <c r="I701" s="257"/>
      <c r="J701" s="257"/>
      <c r="K701" s="257"/>
    </row>
    <row r="702" spans="1:11" x14ac:dyDescent="0.25">
      <c r="A702" s="268"/>
      <c r="B702" s="268"/>
      <c r="C702" s="268"/>
      <c r="D702" s="257"/>
      <c r="E702" s="257"/>
      <c r="F702" s="257"/>
      <c r="G702" s="257"/>
      <c r="H702" s="257"/>
      <c r="I702" s="257"/>
      <c r="J702" s="257"/>
      <c r="K702" s="257"/>
    </row>
    <row r="703" spans="1:11" x14ac:dyDescent="0.25">
      <c r="A703" s="268"/>
      <c r="B703" s="268"/>
      <c r="C703" s="268"/>
      <c r="D703" s="257"/>
      <c r="E703" s="257"/>
      <c r="F703" s="257"/>
      <c r="G703" s="257"/>
      <c r="H703" s="257"/>
      <c r="I703" s="257"/>
      <c r="J703" s="257"/>
      <c r="K703" s="257"/>
    </row>
    <row r="704" spans="1:11" x14ac:dyDescent="0.25">
      <c r="A704" s="268"/>
      <c r="B704" s="268"/>
      <c r="C704" s="268"/>
      <c r="D704" s="257"/>
      <c r="E704" s="257"/>
      <c r="F704" s="257"/>
      <c r="G704" s="257"/>
      <c r="H704" s="257"/>
      <c r="I704" s="257"/>
      <c r="J704" s="257"/>
      <c r="K704" s="257"/>
    </row>
    <row r="705" spans="1:11" x14ac:dyDescent="0.25">
      <c r="A705" s="268"/>
      <c r="B705" s="268"/>
      <c r="C705" s="268"/>
      <c r="D705" s="257"/>
      <c r="E705" s="257"/>
      <c r="F705" s="257"/>
      <c r="G705" s="257"/>
      <c r="H705" s="257"/>
      <c r="I705" s="257"/>
      <c r="J705" s="257"/>
      <c r="K705" s="257"/>
    </row>
    <row r="706" spans="1:11" x14ac:dyDescent="0.25">
      <c r="A706" s="268"/>
      <c r="B706" s="268"/>
      <c r="C706" s="268"/>
      <c r="D706" s="257"/>
      <c r="E706" s="257"/>
      <c r="F706" s="257"/>
      <c r="G706" s="257"/>
      <c r="H706" s="257"/>
      <c r="I706" s="257"/>
      <c r="J706" s="257"/>
      <c r="K706" s="257"/>
    </row>
    <row r="707" spans="1:11" x14ac:dyDescent="0.25">
      <c r="A707" s="268"/>
      <c r="B707" s="268"/>
      <c r="C707" s="268"/>
      <c r="D707" s="257"/>
      <c r="E707" s="257"/>
      <c r="F707" s="257"/>
      <c r="G707" s="257"/>
      <c r="H707" s="257"/>
      <c r="I707" s="257"/>
      <c r="J707" s="257"/>
      <c r="K707" s="257"/>
    </row>
    <row r="708" spans="1:11" x14ac:dyDescent="0.25">
      <c r="A708" s="268"/>
      <c r="B708" s="268"/>
      <c r="C708" s="268"/>
      <c r="D708" s="257"/>
      <c r="E708" s="257"/>
      <c r="F708" s="257"/>
      <c r="G708" s="257"/>
      <c r="H708" s="257"/>
      <c r="I708" s="257"/>
      <c r="J708" s="257"/>
      <c r="K708" s="257"/>
    </row>
    <row r="709" spans="1:11" x14ac:dyDescent="0.25">
      <c r="A709" s="268"/>
      <c r="B709" s="268"/>
      <c r="C709" s="268"/>
      <c r="D709" s="257"/>
      <c r="E709" s="257"/>
      <c r="F709" s="257"/>
      <c r="G709" s="257"/>
      <c r="H709" s="257"/>
      <c r="I709" s="257"/>
      <c r="J709" s="257"/>
      <c r="K709" s="257"/>
    </row>
    <row r="710" spans="1:11" x14ac:dyDescent="0.25">
      <c r="A710" s="268"/>
      <c r="B710" s="268"/>
      <c r="C710" s="268"/>
      <c r="D710" s="257"/>
      <c r="E710" s="257"/>
      <c r="F710" s="257"/>
      <c r="G710" s="257"/>
      <c r="H710" s="257"/>
      <c r="I710" s="257"/>
      <c r="J710" s="257"/>
      <c r="K710" s="257"/>
    </row>
    <row r="711" spans="1:11" x14ac:dyDescent="0.25">
      <c r="A711" s="268"/>
      <c r="B711" s="268"/>
      <c r="C711" s="268"/>
      <c r="D711" s="257"/>
      <c r="E711" s="257"/>
      <c r="F711" s="257"/>
      <c r="G711" s="257"/>
      <c r="H711" s="257"/>
      <c r="I711" s="257"/>
      <c r="J711" s="257"/>
      <c r="K711" s="257"/>
    </row>
    <row r="712" spans="1:11" x14ac:dyDescent="0.25">
      <c r="A712" s="268"/>
      <c r="B712" s="268"/>
      <c r="C712" s="268"/>
      <c r="D712" s="257"/>
      <c r="E712" s="257"/>
      <c r="F712" s="257"/>
      <c r="G712" s="257"/>
      <c r="H712" s="257"/>
      <c r="I712" s="257"/>
      <c r="J712" s="257"/>
      <c r="K712" s="257"/>
    </row>
    <row r="713" spans="1:11" x14ac:dyDescent="0.25">
      <c r="A713" s="268"/>
      <c r="B713" s="268"/>
      <c r="C713" s="268"/>
      <c r="D713" s="257"/>
      <c r="E713" s="257"/>
      <c r="F713" s="257"/>
      <c r="G713" s="257"/>
      <c r="H713" s="257"/>
      <c r="I713" s="257"/>
      <c r="J713" s="257"/>
      <c r="K713" s="257"/>
    </row>
    <row r="714" spans="1:11" x14ac:dyDescent="0.25">
      <c r="A714" s="268"/>
      <c r="B714" s="268"/>
      <c r="C714" s="268"/>
      <c r="D714" s="257"/>
      <c r="E714" s="257"/>
      <c r="F714" s="257"/>
      <c r="G714" s="257"/>
      <c r="H714" s="257"/>
      <c r="I714" s="257"/>
      <c r="J714" s="257"/>
      <c r="K714" s="257"/>
    </row>
    <row r="715" spans="1:11" x14ac:dyDescent="0.25">
      <c r="A715" s="268"/>
      <c r="B715" s="268"/>
      <c r="C715" s="268"/>
      <c r="D715" s="257"/>
      <c r="E715" s="257"/>
      <c r="F715" s="257"/>
      <c r="G715" s="257"/>
      <c r="H715" s="257"/>
      <c r="I715" s="257"/>
      <c r="J715" s="257"/>
      <c r="K715" s="257"/>
    </row>
    <row r="716" spans="1:11" x14ac:dyDescent="0.25">
      <c r="A716" s="268"/>
      <c r="B716" s="268"/>
      <c r="C716" s="268"/>
      <c r="D716" s="257"/>
      <c r="E716" s="257"/>
      <c r="F716" s="257"/>
      <c r="G716" s="257"/>
      <c r="H716" s="257"/>
      <c r="I716" s="257"/>
      <c r="J716" s="257"/>
      <c r="K716" s="257"/>
    </row>
    <row r="717" spans="1:11" x14ac:dyDescent="0.25">
      <c r="A717" s="268"/>
      <c r="B717" s="268"/>
      <c r="C717" s="268"/>
      <c r="D717" s="257"/>
      <c r="E717" s="257"/>
      <c r="F717" s="257"/>
      <c r="G717" s="257"/>
      <c r="H717" s="257"/>
      <c r="I717" s="257"/>
      <c r="J717" s="257"/>
      <c r="K717" s="257"/>
    </row>
    <row r="718" spans="1:11" x14ac:dyDescent="0.25">
      <c r="A718" s="268"/>
      <c r="B718" s="268"/>
      <c r="C718" s="268"/>
      <c r="D718" s="257"/>
      <c r="E718" s="257"/>
      <c r="F718" s="257"/>
      <c r="G718" s="257"/>
      <c r="H718" s="257"/>
      <c r="I718" s="257"/>
      <c r="J718" s="257"/>
      <c r="K718" s="257"/>
    </row>
    <row r="719" spans="1:11" x14ac:dyDescent="0.25">
      <c r="A719" s="268"/>
      <c r="B719" s="268"/>
      <c r="C719" s="268"/>
      <c r="D719" s="257"/>
      <c r="E719" s="257"/>
      <c r="F719" s="257"/>
      <c r="G719" s="257"/>
      <c r="H719" s="257"/>
      <c r="I719" s="257"/>
      <c r="J719" s="257"/>
      <c r="K719" s="257"/>
    </row>
    <row r="720" spans="1:11" x14ac:dyDescent="0.25">
      <c r="A720" s="268"/>
      <c r="B720" s="268"/>
      <c r="C720" s="268"/>
      <c r="D720" s="257"/>
      <c r="E720" s="257"/>
      <c r="F720" s="257"/>
      <c r="G720" s="257"/>
      <c r="H720" s="257"/>
      <c r="I720" s="257"/>
      <c r="J720" s="257"/>
      <c r="K720" s="257"/>
    </row>
    <row r="721" spans="1:11" x14ac:dyDescent="0.25">
      <c r="A721" s="268"/>
      <c r="B721" s="268"/>
      <c r="C721" s="268"/>
      <c r="D721" s="257"/>
      <c r="E721" s="257"/>
      <c r="F721" s="257"/>
      <c r="G721" s="257"/>
      <c r="H721" s="257"/>
      <c r="I721" s="257"/>
      <c r="J721" s="257"/>
      <c r="K721" s="257"/>
    </row>
    <row r="722" spans="1:11" x14ac:dyDescent="0.25">
      <c r="A722" s="268"/>
      <c r="B722" s="268"/>
      <c r="C722" s="268"/>
      <c r="D722" s="257"/>
      <c r="E722" s="257"/>
      <c r="F722" s="257"/>
      <c r="G722" s="257"/>
      <c r="H722" s="257"/>
      <c r="I722" s="257"/>
      <c r="J722" s="257"/>
      <c r="K722" s="257"/>
    </row>
    <row r="723" spans="1:11" x14ac:dyDescent="0.25">
      <c r="A723" s="268"/>
      <c r="B723" s="268"/>
      <c r="C723" s="268"/>
      <c r="D723" s="257"/>
      <c r="E723" s="257"/>
      <c r="F723" s="257"/>
      <c r="G723" s="257"/>
      <c r="H723" s="257"/>
      <c r="I723" s="257"/>
      <c r="J723" s="257"/>
      <c r="K723" s="257"/>
    </row>
    <row r="724" spans="1:11" x14ac:dyDescent="0.25">
      <c r="A724" s="268"/>
      <c r="B724" s="268"/>
      <c r="C724" s="268"/>
      <c r="D724" s="257"/>
      <c r="E724" s="257"/>
      <c r="F724" s="257"/>
      <c r="G724" s="257"/>
      <c r="H724" s="257"/>
      <c r="I724" s="257"/>
      <c r="J724" s="257"/>
      <c r="K724" s="257"/>
    </row>
    <row r="725" spans="1:11" x14ac:dyDescent="0.25">
      <c r="A725" s="268"/>
      <c r="B725" s="268"/>
      <c r="C725" s="268"/>
      <c r="D725" s="257"/>
      <c r="E725" s="257"/>
      <c r="F725" s="257"/>
      <c r="G725" s="257"/>
      <c r="H725" s="257"/>
      <c r="I725" s="257"/>
      <c r="J725" s="257"/>
      <c r="K725" s="257"/>
    </row>
    <row r="726" spans="1:11" x14ac:dyDescent="0.25">
      <c r="A726" s="268"/>
      <c r="B726" s="268"/>
      <c r="C726" s="268"/>
      <c r="D726" s="257"/>
      <c r="E726" s="257"/>
      <c r="F726" s="257"/>
      <c r="G726" s="257"/>
      <c r="H726" s="257"/>
      <c r="I726" s="257"/>
      <c r="J726" s="257"/>
      <c r="K726" s="257"/>
    </row>
    <row r="727" spans="1:11" x14ac:dyDescent="0.25">
      <c r="A727" s="268"/>
      <c r="B727" s="268"/>
      <c r="C727" s="268"/>
      <c r="D727" s="257"/>
      <c r="E727" s="257"/>
      <c r="F727" s="257"/>
      <c r="G727" s="257"/>
      <c r="H727" s="257"/>
      <c r="I727" s="257"/>
      <c r="J727" s="257"/>
      <c r="K727" s="257"/>
    </row>
    <row r="728" spans="1:11" x14ac:dyDescent="0.25">
      <c r="A728" s="268"/>
      <c r="B728" s="268"/>
      <c r="C728" s="268"/>
      <c r="D728" s="257"/>
      <c r="E728" s="257"/>
      <c r="F728" s="257"/>
      <c r="G728" s="257"/>
      <c r="H728" s="257"/>
      <c r="I728" s="257"/>
      <c r="J728" s="257"/>
      <c r="K728" s="257"/>
    </row>
    <row r="729" spans="1:11" x14ac:dyDescent="0.25">
      <c r="A729" s="268"/>
      <c r="B729" s="268"/>
      <c r="C729" s="268"/>
      <c r="D729" s="257"/>
      <c r="E729" s="257"/>
      <c r="F729" s="257"/>
      <c r="G729" s="257"/>
      <c r="H729" s="257"/>
      <c r="I729" s="257"/>
      <c r="J729" s="257"/>
      <c r="K729" s="257"/>
    </row>
    <row r="730" spans="1:11" x14ac:dyDescent="0.25">
      <c r="A730" s="268"/>
      <c r="B730" s="268"/>
      <c r="C730" s="268"/>
      <c r="D730" s="257"/>
      <c r="E730" s="257"/>
      <c r="F730" s="257"/>
      <c r="G730" s="257"/>
      <c r="H730" s="257"/>
      <c r="I730" s="257"/>
      <c r="J730" s="257"/>
      <c r="K730" s="257"/>
    </row>
    <row r="731" spans="1:11" x14ac:dyDescent="0.25">
      <c r="A731" s="268"/>
      <c r="B731" s="268"/>
      <c r="C731" s="268"/>
      <c r="D731" s="257"/>
      <c r="E731" s="257"/>
      <c r="F731" s="257"/>
      <c r="G731" s="257"/>
      <c r="H731" s="257"/>
      <c r="I731" s="257"/>
      <c r="J731" s="257"/>
      <c r="K731" s="257"/>
    </row>
    <row r="732" spans="1:11" x14ac:dyDescent="0.25">
      <c r="A732" s="268"/>
      <c r="B732" s="268"/>
      <c r="C732" s="268"/>
      <c r="D732" s="257"/>
      <c r="E732" s="257"/>
      <c r="F732" s="257"/>
      <c r="G732" s="257"/>
      <c r="H732" s="257"/>
      <c r="I732" s="257"/>
      <c r="J732" s="257"/>
      <c r="K732" s="257"/>
    </row>
    <row r="733" spans="1:11" x14ac:dyDescent="0.25">
      <c r="A733" s="268"/>
      <c r="B733" s="268"/>
      <c r="C733" s="268"/>
      <c r="D733" s="257"/>
      <c r="E733" s="257"/>
      <c r="F733" s="257"/>
      <c r="G733" s="257"/>
      <c r="H733" s="257"/>
      <c r="I733" s="257"/>
      <c r="J733" s="257"/>
      <c r="K733" s="257"/>
    </row>
    <row r="734" spans="1:11" x14ac:dyDescent="0.25">
      <c r="A734" s="268"/>
      <c r="B734" s="268"/>
      <c r="C734" s="268"/>
      <c r="D734" s="257"/>
      <c r="E734" s="257"/>
      <c r="F734" s="257"/>
      <c r="G734" s="257"/>
      <c r="H734" s="257"/>
      <c r="I734" s="257"/>
      <c r="J734" s="257"/>
      <c r="K734" s="257"/>
    </row>
    <row r="735" spans="1:11" x14ac:dyDescent="0.25">
      <c r="A735" s="268"/>
      <c r="B735" s="268"/>
      <c r="C735" s="268"/>
      <c r="D735" s="257"/>
      <c r="E735" s="257"/>
      <c r="F735" s="257"/>
      <c r="G735" s="257"/>
      <c r="H735" s="257"/>
      <c r="I735" s="257"/>
      <c r="J735" s="257"/>
      <c r="K735" s="257"/>
    </row>
    <row r="736" spans="1:11" x14ac:dyDescent="0.25">
      <c r="A736" s="268"/>
      <c r="B736" s="268"/>
      <c r="C736" s="268"/>
      <c r="D736" s="257"/>
      <c r="E736" s="257"/>
      <c r="F736" s="257"/>
      <c r="G736" s="257"/>
      <c r="H736" s="257"/>
      <c r="I736" s="257"/>
      <c r="J736" s="257"/>
      <c r="K736" s="257"/>
    </row>
    <row r="737" spans="1:11" x14ac:dyDescent="0.25">
      <c r="A737" s="268"/>
      <c r="B737" s="268"/>
      <c r="C737" s="268"/>
      <c r="D737" s="257"/>
      <c r="E737" s="257"/>
      <c r="F737" s="257"/>
      <c r="G737" s="257"/>
      <c r="H737" s="257"/>
      <c r="I737" s="257"/>
      <c r="J737" s="257"/>
      <c r="K737" s="257"/>
    </row>
    <row r="738" spans="1:11" x14ac:dyDescent="0.25">
      <c r="A738" s="268"/>
      <c r="B738" s="268"/>
      <c r="C738" s="268"/>
      <c r="D738" s="257"/>
      <c r="E738" s="257"/>
      <c r="F738" s="257"/>
      <c r="G738" s="257"/>
      <c r="H738" s="257"/>
      <c r="I738" s="257"/>
      <c r="J738" s="257"/>
      <c r="K738" s="257"/>
    </row>
    <row r="739" spans="1:11" x14ac:dyDescent="0.25">
      <c r="A739" s="268"/>
      <c r="B739" s="268"/>
      <c r="C739" s="268"/>
      <c r="D739" s="257"/>
      <c r="E739" s="257"/>
      <c r="F739" s="257"/>
      <c r="G739" s="257"/>
      <c r="H739" s="257"/>
      <c r="I739" s="257"/>
      <c r="J739" s="257"/>
      <c r="K739" s="257"/>
    </row>
    <row r="740" spans="1:11" x14ac:dyDescent="0.25">
      <c r="A740" s="268"/>
      <c r="B740" s="268"/>
      <c r="C740" s="268"/>
      <c r="D740" s="257"/>
      <c r="E740" s="257"/>
      <c r="F740" s="257"/>
      <c r="G740" s="257"/>
      <c r="H740" s="257"/>
      <c r="I740" s="257"/>
      <c r="J740" s="257"/>
      <c r="K740" s="257"/>
    </row>
    <row r="741" spans="1:11" x14ac:dyDescent="0.25">
      <c r="A741" s="268"/>
      <c r="B741" s="268"/>
      <c r="C741" s="268"/>
      <c r="D741" s="257"/>
      <c r="E741" s="257"/>
      <c r="F741" s="257"/>
      <c r="G741" s="257"/>
      <c r="H741" s="257"/>
      <c r="I741" s="257"/>
      <c r="J741" s="257"/>
      <c r="K741" s="257"/>
    </row>
    <row r="742" spans="1:11" x14ac:dyDescent="0.25">
      <c r="A742" s="268"/>
      <c r="B742" s="268"/>
      <c r="C742" s="268"/>
      <c r="D742" s="257"/>
      <c r="E742" s="257"/>
      <c r="F742" s="257"/>
      <c r="G742" s="257"/>
      <c r="H742" s="257"/>
      <c r="I742" s="257"/>
      <c r="J742" s="257"/>
      <c r="K742" s="257"/>
    </row>
    <row r="743" spans="1:11" x14ac:dyDescent="0.25">
      <c r="A743" s="268"/>
      <c r="B743" s="268"/>
      <c r="C743" s="268"/>
      <c r="D743" s="257"/>
      <c r="E743" s="257"/>
      <c r="F743" s="257"/>
      <c r="G743" s="257"/>
      <c r="H743" s="257"/>
      <c r="I743" s="257"/>
      <c r="J743" s="257"/>
      <c r="K743" s="257"/>
    </row>
    <row r="744" spans="1:11" x14ac:dyDescent="0.25">
      <c r="A744" s="268"/>
      <c r="B744" s="268"/>
      <c r="C744" s="268"/>
      <c r="D744" s="257"/>
      <c r="E744" s="257"/>
      <c r="F744" s="257"/>
      <c r="G744" s="257"/>
      <c r="H744" s="257"/>
      <c r="I744" s="257"/>
      <c r="J744" s="257"/>
      <c r="K744" s="257"/>
    </row>
    <row r="745" spans="1:11" x14ac:dyDescent="0.25">
      <c r="A745" s="268"/>
      <c r="B745" s="268"/>
      <c r="C745" s="268"/>
      <c r="D745" s="257"/>
      <c r="E745" s="257"/>
      <c r="F745" s="257"/>
      <c r="G745" s="257"/>
      <c r="H745" s="257"/>
      <c r="I745" s="257"/>
      <c r="J745" s="257"/>
      <c r="K745" s="257"/>
    </row>
    <row r="746" spans="1:11" x14ac:dyDescent="0.25">
      <c r="A746" s="268"/>
      <c r="B746" s="268"/>
      <c r="C746" s="268"/>
      <c r="D746" s="257"/>
      <c r="E746" s="257"/>
      <c r="F746" s="257"/>
      <c r="G746" s="257"/>
      <c r="H746" s="257"/>
      <c r="I746" s="257"/>
      <c r="J746" s="257"/>
      <c r="K746" s="257"/>
    </row>
    <row r="747" spans="1:11" x14ac:dyDescent="0.25">
      <c r="A747" s="268"/>
      <c r="B747" s="268"/>
      <c r="C747" s="268"/>
      <c r="D747" s="257"/>
      <c r="E747" s="257"/>
      <c r="F747" s="257"/>
      <c r="G747" s="257"/>
      <c r="H747" s="257"/>
      <c r="I747" s="257"/>
      <c r="J747" s="257"/>
      <c r="K747" s="257"/>
    </row>
    <row r="748" spans="1:11" x14ac:dyDescent="0.25">
      <c r="A748" s="268"/>
      <c r="B748" s="268"/>
      <c r="C748" s="268"/>
      <c r="D748" s="257"/>
      <c r="E748" s="257"/>
      <c r="F748" s="257"/>
      <c r="G748" s="257"/>
      <c r="H748" s="257"/>
      <c r="I748" s="257"/>
      <c r="J748" s="257"/>
      <c r="K748" s="257"/>
    </row>
    <row r="749" spans="1:11" x14ac:dyDescent="0.25">
      <c r="A749" s="268"/>
      <c r="B749" s="268"/>
      <c r="C749" s="268"/>
      <c r="D749" s="257"/>
      <c r="E749" s="257"/>
      <c r="F749" s="257"/>
      <c r="G749" s="257"/>
      <c r="H749" s="257"/>
      <c r="I749" s="257"/>
      <c r="J749" s="257"/>
      <c r="K749" s="257"/>
    </row>
    <row r="750" spans="1:11" x14ac:dyDescent="0.25">
      <c r="A750" s="268"/>
      <c r="B750" s="268"/>
      <c r="C750" s="268"/>
      <c r="D750" s="257"/>
      <c r="E750" s="257"/>
      <c r="F750" s="257"/>
      <c r="G750" s="257"/>
      <c r="H750" s="257"/>
      <c r="I750" s="257"/>
      <c r="J750" s="257"/>
      <c r="K750" s="257"/>
    </row>
    <row r="751" spans="1:11" x14ac:dyDescent="0.25">
      <c r="A751" s="268"/>
      <c r="B751" s="268"/>
      <c r="C751" s="268"/>
      <c r="D751" s="257"/>
      <c r="E751" s="257"/>
      <c r="F751" s="257"/>
      <c r="G751" s="257"/>
      <c r="H751" s="257"/>
      <c r="I751" s="257"/>
      <c r="J751" s="257"/>
      <c r="K751" s="257"/>
    </row>
    <row r="752" spans="1:11" x14ac:dyDescent="0.25">
      <c r="A752" s="268"/>
      <c r="B752" s="268"/>
      <c r="C752" s="268"/>
      <c r="D752" s="257"/>
      <c r="E752" s="257"/>
      <c r="F752" s="257"/>
      <c r="G752" s="257"/>
      <c r="H752" s="257"/>
      <c r="I752" s="257"/>
      <c r="J752" s="257"/>
      <c r="K752" s="257"/>
    </row>
    <row r="753" spans="1:11" x14ac:dyDescent="0.25">
      <c r="A753" s="268"/>
      <c r="B753" s="268"/>
      <c r="C753" s="268"/>
      <c r="D753" s="257"/>
      <c r="E753" s="257"/>
      <c r="F753" s="257"/>
      <c r="G753" s="257"/>
      <c r="H753" s="257"/>
      <c r="I753" s="257"/>
      <c r="J753" s="257"/>
      <c r="K753" s="257"/>
    </row>
    <row r="754" spans="1:11" x14ac:dyDescent="0.25">
      <c r="A754" s="268"/>
      <c r="B754" s="268"/>
      <c r="C754" s="268"/>
      <c r="D754" s="257"/>
      <c r="E754" s="257"/>
      <c r="F754" s="257"/>
      <c r="G754" s="257"/>
      <c r="H754" s="257"/>
      <c r="I754" s="257"/>
      <c r="J754" s="257"/>
      <c r="K754" s="257"/>
    </row>
    <row r="755" spans="1:11" x14ac:dyDescent="0.25">
      <c r="A755" s="268"/>
      <c r="B755" s="268"/>
      <c r="C755" s="268"/>
      <c r="D755" s="257"/>
      <c r="E755" s="257"/>
      <c r="F755" s="257"/>
      <c r="G755" s="257"/>
      <c r="H755" s="257"/>
      <c r="I755" s="257"/>
      <c r="J755" s="257"/>
      <c r="K755" s="257"/>
    </row>
    <row r="756" spans="1:11" x14ac:dyDescent="0.25">
      <c r="A756" s="268"/>
      <c r="B756" s="268"/>
      <c r="C756" s="268"/>
      <c r="D756" s="257"/>
      <c r="E756" s="257"/>
      <c r="F756" s="257"/>
      <c r="G756" s="257"/>
      <c r="H756" s="257"/>
      <c r="I756" s="257"/>
      <c r="J756" s="257"/>
      <c r="K756" s="257"/>
    </row>
    <row r="757" spans="1:11" x14ac:dyDescent="0.25">
      <c r="A757" s="268"/>
      <c r="B757" s="268"/>
      <c r="C757" s="268"/>
      <c r="D757" s="257"/>
      <c r="E757" s="257"/>
      <c r="F757" s="257"/>
      <c r="G757" s="257"/>
      <c r="H757" s="257"/>
      <c r="I757" s="257"/>
      <c r="J757" s="257"/>
      <c r="K757" s="257"/>
    </row>
    <row r="758" spans="1:11" x14ac:dyDescent="0.25">
      <c r="A758" s="268"/>
      <c r="B758" s="268"/>
      <c r="C758" s="268"/>
      <c r="D758" s="257"/>
      <c r="E758" s="257"/>
      <c r="F758" s="257"/>
      <c r="G758" s="257"/>
      <c r="H758" s="257"/>
      <c r="I758" s="257"/>
      <c r="J758" s="257"/>
      <c r="K758" s="257"/>
    </row>
    <row r="759" spans="1:11" x14ac:dyDescent="0.25">
      <c r="A759" s="268"/>
      <c r="B759" s="268"/>
      <c r="C759" s="268"/>
      <c r="D759" s="257"/>
      <c r="E759" s="257"/>
      <c r="F759" s="257"/>
      <c r="G759" s="257"/>
      <c r="H759" s="257"/>
      <c r="I759" s="257"/>
      <c r="J759" s="257"/>
      <c r="K759" s="257"/>
    </row>
    <row r="760" spans="1:11" x14ac:dyDescent="0.25">
      <c r="A760" s="268"/>
      <c r="B760" s="268"/>
      <c r="C760" s="268"/>
      <c r="D760" s="257"/>
      <c r="E760" s="257"/>
      <c r="F760" s="257"/>
      <c r="G760" s="257"/>
      <c r="H760" s="257"/>
      <c r="I760" s="257"/>
      <c r="J760" s="257"/>
      <c r="K760" s="257"/>
    </row>
    <row r="761" spans="1:11" x14ac:dyDescent="0.25">
      <c r="A761" s="268"/>
      <c r="B761" s="268"/>
      <c r="C761" s="268"/>
      <c r="D761" s="257"/>
      <c r="E761" s="257"/>
      <c r="F761" s="257"/>
      <c r="G761" s="257"/>
      <c r="H761" s="257"/>
      <c r="I761" s="257"/>
      <c r="J761" s="257"/>
      <c r="K761" s="257"/>
    </row>
    <row r="762" spans="1:11" x14ac:dyDescent="0.25">
      <c r="A762" s="268"/>
      <c r="B762" s="268"/>
      <c r="C762" s="268"/>
      <c r="D762" s="257"/>
      <c r="E762" s="257"/>
      <c r="F762" s="257"/>
      <c r="G762" s="257"/>
      <c r="H762" s="257"/>
      <c r="I762" s="257"/>
      <c r="J762" s="257"/>
      <c r="K762" s="257"/>
    </row>
    <row r="763" spans="1:11" x14ac:dyDescent="0.25">
      <c r="A763" s="268"/>
      <c r="B763" s="268"/>
      <c r="C763" s="268"/>
      <c r="D763" s="257"/>
      <c r="E763" s="257"/>
      <c r="F763" s="257"/>
      <c r="G763" s="257"/>
      <c r="H763" s="257"/>
      <c r="I763" s="257"/>
      <c r="J763" s="257"/>
      <c r="K763" s="257"/>
    </row>
    <row r="764" spans="1:11" x14ac:dyDescent="0.25">
      <c r="A764" s="268"/>
      <c r="B764" s="268"/>
      <c r="C764" s="268"/>
      <c r="D764" s="257"/>
      <c r="E764" s="257"/>
      <c r="F764" s="257"/>
      <c r="G764" s="257"/>
      <c r="H764" s="257"/>
      <c r="I764" s="257"/>
      <c r="J764" s="257"/>
      <c r="K764" s="257"/>
    </row>
    <row r="765" spans="1:11" x14ac:dyDescent="0.25">
      <c r="A765" s="268"/>
      <c r="B765" s="268"/>
      <c r="C765" s="268"/>
      <c r="D765" s="257"/>
      <c r="E765" s="257"/>
      <c r="F765" s="257"/>
      <c r="G765" s="257"/>
      <c r="H765" s="257"/>
      <c r="I765" s="257"/>
      <c r="J765" s="257"/>
      <c r="K765" s="257"/>
    </row>
    <row r="766" spans="1:11" x14ac:dyDescent="0.25">
      <c r="A766" s="268"/>
      <c r="B766" s="268"/>
      <c r="C766" s="268"/>
      <c r="D766" s="257"/>
      <c r="E766" s="257"/>
      <c r="F766" s="257"/>
      <c r="G766" s="257"/>
      <c r="H766" s="257"/>
      <c r="I766" s="257"/>
      <c r="J766" s="257"/>
      <c r="K766" s="257"/>
    </row>
    <row r="767" spans="1:11" x14ac:dyDescent="0.25">
      <c r="A767" s="268"/>
      <c r="B767" s="268"/>
      <c r="C767" s="268"/>
      <c r="D767" s="257"/>
      <c r="E767" s="257"/>
      <c r="F767" s="257"/>
      <c r="G767" s="257"/>
      <c r="H767" s="257"/>
      <c r="I767" s="257"/>
      <c r="J767" s="257"/>
      <c r="K767" s="257"/>
    </row>
    <row r="768" spans="1:11" x14ac:dyDescent="0.25">
      <c r="A768" s="268"/>
      <c r="B768" s="268"/>
      <c r="C768" s="268"/>
      <c r="D768" s="257"/>
      <c r="E768" s="257"/>
      <c r="F768" s="257"/>
      <c r="G768" s="257"/>
      <c r="H768" s="257"/>
      <c r="I768" s="257"/>
      <c r="J768" s="257"/>
      <c r="K768" s="257"/>
    </row>
    <row r="769" spans="1:11" x14ac:dyDescent="0.25">
      <c r="A769" s="268"/>
      <c r="B769" s="268"/>
      <c r="C769" s="268"/>
      <c r="D769" s="257"/>
      <c r="E769" s="257"/>
      <c r="F769" s="257"/>
      <c r="G769" s="257"/>
      <c r="H769" s="257"/>
      <c r="I769" s="257"/>
      <c r="J769" s="257"/>
      <c r="K769" s="257"/>
    </row>
    <row r="770" spans="1:11" x14ac:dyDescent="0.25">
      <c r="A770" s="268"/>
      <c r="B770" s="268"/>
      <c r="C770" s="268"/>
      <c r="D770" s="257"/>
      <c r="E770" s="257"/>
      <c r="F770" s="257"/>
      <c r="G770" s="257"/>
      <c r="H770" s="257"/>
      <c r="I770" s="257"/>
      <c r="J770" s="257"/>
      <c r="K770" s="257"/>
    </row>
    <row r="771" spans="1:11" x14ac:dyDescent="0.25">
      <c r="A771" s="268"/>
      <c r="B771" s="268"/>
      <c r="C771" s="268"/>
      <c r="D771" s="257"/>
      <c r="E771" s="257"/>
      <c r="F771" s="257"/>
      <c r="G771" s="257"/>
      <c r="H771" s="257"/>
      <c r="I771" s="257"/>
      <c r="J771" s="257"/>
      <c r="K771" s="257"/>
    </row>
    <row r="772" spans="1:11" x14ac:dyDescent="0.25">
      <c r="A772" s="268"/>
      <c r="B772" s="268"/>
      <c r="C772" s="268"/>
      <c r="D772" s="257"/>
      <c r="E772" s="257"/>
      <c r="F772" s="257"/>
      <c r="G772" s="257"/>
      <c r="H772" s="257"/>
      <c r="I772" s="257"/>
      <c r="J772" s="257"/>
      <c r="K772" s="257"/>
    </row>
    <row r="773" spans="1:11" x14ac:dyDescent="0.25">
      <c r="A773" s="268"/>
      <c r="B773" s="268"/>
      <c r="C773" s="268"/>
      <c r="D773" s="257"/>
      <c r="E773" s="257"/>
      <c r="F773" s="257"/>
      <c r="G773" s="257"/>
      <c r="H773" s="257"/>
      <c r="I773" s="257"/>
      <c r="J773" s="257"/>
      <c r="K773" s="257"/>
    </row>
    <row r="774" spans="1:11" x14ac:dyDescent="0.25">
      <c r="A774" s="268"/>
      <c r="B774" s="268"/>
      <c r="C774" s="268"/>
      <c r="D774" s="257"/>
      <c r="E774" s="257"/>
      <c r="F774" s="257"/>
      <c r="G774" s="257"/>
      <c r="H774" s="257"/>
      <c r="I774" s="257"/>
      <c r="J774" s="257"/>
      <c r="K774" s="257"/>
    </row>
    <row r="775" spans="1:11" x14ac:dyDescent="0.25">
      <c r="A775" s="268"/>
      <c r="B775" s="268"/>
      <c r="C775" s="268"/>
      <c r="D775" s="257"/>
      <c r="E775" s="257"/>
      <c r="F775" s="257"/>
      <c r="G775" s="257"/>
      <c r="H775" s="257"/>
      <c r="I775" s="257"/>
      <c r="J775" s="257"/>
      <c r="K775" s="257"/>
    </row>
    <row r="776" spans="1:11" x14ac:dyDescent="0.25">
      <c r="A776" s="268"/>
      <c r="B776" s="268"/>
      <c r="C776" s="268"/>
      <c r="D776" s="257"/>
      <c r="E776" s="257"/>
      <c r="F776" s="257"/>
      <c r="G776" s="257"/>
      <c r="H776" s="257"/>
      <c r="I776" s="257"/>
      <c r="J776" s="257"/>
      <c r="K776" s="257"/>
    </row>
    <row r="777" spans="1:11" x14ac:dyDescent="0.25">
      <c r="A777" s="268"/>
      <c r="B777" s="268"/>
      <c r="C777" s="268"/>
      <c r="D777" s="257"/>
      <c r="E777" s="257"/>
      <c r="F777" s="257"/>
      <c r="G777" s="257"/>
      <c r="H777" s="257"/>
      <c r="I777" s="257"/>
      <c r="J777" s="257"/>
      <c r="K777" s="257"/>
    </row>
    <row r="778" spans="1:11" x14ac:dyDescent="0.25">
      <c r="A778" s="268"/>
      <c r="B778" s="268"/>
      <c r="C778" s="268"/>
      <c r="D778" s="257"/>
      <c r="E778" s="257"/>
      <c r="F778" s="257"/>
      <c r="G778" s="257"/>
      <c r="H778" s="257"/>
      <c r="I778" s="257"/>
      <c r="J778" s="257"/>
      <c r="K778" s="257"/>
    </row>
    <row r="779" spans="1:11" x14ac:dyDescent="0.25">
      <c r="A779" s="268"/>
      <c r="B779" s="268"/>
      <c r="C779" s="268"/>
      <c r="D779" s="257"/>
      <c r="E779" s="257"/>
      <c r="F779" s="257"/>
      <c r="G779" s="257"/>
      <c r="H779" s="257"/>
      <c r="I779" s="257"/>
      <c r="J779" s="257"/>
      <c r="K779" s="257"/>
    </row>
    <row r="780" spans="1:11" x14ac:dyDescent="0.25">
      <c r="A780" s="268"/>
      <c r="B780" s="268"/>
      <c r="C780" s="268"/>
      <c r="D780" s="257"/>
      <c r="E780" s="257"/>
      <c r="F780" s="257"/>
      <c r="G780" s="257"/>
      <c r="H780" s="257"/>
      <c r="I780" s="257"/>
      <c r="J780" s="257"/>
      <c r="K780" s="257"/>
    </row>
    <row r="781" spans="1:11" x14ac:dyDescent="0.25">
      <c r="A781" s="268"/>
      <c r="B781" s="268"/>
      <c r="C781" s="268"/>
      <c r="D781" s="257"/>
      <c r="E781" s="257"/>
      <c r="F781" s="257"/>
      <c r="G781" s="257"/>
      <c r="H781" s="257"/>
      <c r="I781" s="257"/>
      <c r="J781" s="257"/>
      <c r="K781" s="257"/>
    </row>
    <row r="782" spans="1:11" x14ac:dyDescent="0.25">
      <c r="A782" s="268"/>
      <c r="B782" s="268"/>
      <c r="C782" s="268"/>
      <c r="D782" s="257"/>
      <c r="E782" s="257"/>
      <c r="F782" s="257"/>
      <c r="G782" s="257"/>
      <c r="H782" s="257"/>
      <c r="I782" s="257"/>
      <c r="J782" s="257"/>
      <c r="K782" s="257"/>
    </row>
    <row r="783" spans="1:11" x14ac:dyDescent="0.25">
      <c r="A783" s="268"/>
      <c r="B783" s="268"/>
      <c r="C783" s="268"/>
      <c r="D783" s="257"/>
      <c r="E783" s="257"/>
      <c r="F783" s="257"/>
      <c r="G783" s="257"/>
      <c r="H783" s="257"/>
      <c r="I783" s="257"/>
      <c r="J783" s="257"/>
      <c r="K783" s="257"/>
    </row>
    <row r="784" spans="1:11" x14ac:dyDescent="0.25">
      <c r="A784" s="268"/>
      <c r="B784" s="268"/>
      <c r="C784" s="268"/>
      <c r="D784" s="257"/>
      <c r="E784" s="257"/>
      <c r="F784" s="257"/>
      <c r="G784" s="257"/>
      <c r="H784" s="257"/>
      <c r="I784" s="257"/>
      <c r="J784" s="257"/>
      <c r="K784" s="257"/>
    </row>
    <row r="785" spans="1:11" x14ac:dyDescent="0.25">
      <c r="A785" s="268"/>
      <c r="B785" s="268"/>
      <c r="C785" s="268"/>
      <c r="D785" s="257"/>
      <c r="E785" s="257"/>
      <c r="F785" s="257"/>
      <c r="G785" s="257"/>
      <c r="H785" s="257"/>
      <c r="I785" s="257"/>
      <c r="J785" s="257"/>
      <c r="K785" s="257"/>
    </row>
    <row r="786" spans="1:11" x14ac:dyDescent="0.25">
      <c r="A786" s="268"/>
      <c r="B786" s="268"/>
      <c r="C786" s="268"/>
      <c r="D786" s="257"/>
      <c r="E786" s="257"/>
      <c r="F786" s="257"/>
      <c r="G786" s="257"/>
      <c r="H786" s="257"/>
      <c r="I786" s="257"/>
      <c r="J786" s="257"/>
      <c r="K786" s="257"/>
    </row>
    <row r="787" spans="1:11" x14ac:dyDescent="0.25">
      <c r="A787" s="268"/>
      <c r="B787" s="268"/>
      <c r="C787" s="268"/>
      <c r="D787" s="257"/>
      <c r="E787" s="257"/>
      <c r="F787" s="257"/>
      <c r="G787" s="257"/>
      <c r="H787" s="257"/>
      <c r="I787" s="257"/>
      <c r="J787" s="257"/>
      <c r="K787" s="257"/>
    </row>
    <row r="788" spans="1:11" x14ac:dyDescent="0.25">
      <c r="A788" s="268"/>
      <c r="B788" s="268"/>
      <c r="C788" s="268"/>
      <c r="D788" s="257"/>
      <c r="E788" s="257"/>
      <c r="F788" s="257"/>
      <c r="G788" s="257"/>
      <c r="H788" s="257"/>
      <c r="I788" s="257"/>
      <c r="J788" s="257"/>
      <c r="K788" s="257"/>
    </row>
    <row r="789" spans="1:11" x14ac:dyDescent="0.25">
      <c r="A789" s="268"/>
      <c r="B789" s="268"/>
      <c r="C789" s="268"/>
      <c r="D789" s="257"/>
      <c r="E789" s="257"/>
      <c r="F789" s="257"/>
      <c r="G789" s="257"/>
      <c r="H789" s="257"/>
      <c r="I789" s="257"/>
      <c r="J789" s="257"/>
      <c r="K789" s="257"/>
    </row>
    <row r="790" spans="1:11" x14ac:dyDescent="0.25">
      <c r="A790" s="268"/>
      <c r="B790" s="268"/>
      <c r="C790" s="268"/>
      <c r="D790" s="257"/>
      <c r="E790" s="257"/>
      <c r="F790" s="257"/>
      <c r="G790" s="257"/>
      <c r="H790" s="257"/>
      <c r="I790" s="257"/>
      <c r="J790" s="257"/>
      <c r="K790" s="257"/>
    </row>
    <row r="791" spans="1:11" x14ac:dyDescent="0.25">
      <c r="A791" s="268"/>
      <c r="B791" s="268"/>
      <c r="C791" s="268"/>
      <c r="D791" s="257"/>
      <c r="E791" s="257"/>
      <c r="F791" s="257"/>
      <c r="G791" s="257"/>
      <c r="H791" s="257"/>
      <c r="I791" s="257"/>
      <c r="J791" s="257"/>
      <c r="K791" s="257"/>
    </row>
    <row r="792" spans="1:11" x14ac:dyDescent="0.25">
      <c r="A792" s="268"/>
      <c r="B792" s="268"/>
      <c r="C792" s="268"/>
      <c r="D792" s="257"/>
      <c r="E792" s="257"/>
      <c r="F792" s="257"/>
      <c r="G792" s="257"/>
      <c r="H792" s="257"/>
      <c r="I792" s="257"/>
      <c r="J792" s="257"/>
      <c r="K792" s="257"/>
    </row>
    <row r="793" spans="1:11" x14ac:dyDescent="0.25">
      <c r="A793" s="268"/>
      <c r="B793" s="268"/>
      <c r="C793" s="268"/>
      <c r="D793" s="257"/>
      <c r="E793" s="257"/>
      <c r="F793" s="257"/>
      <c r="G793" s="257"/>
      <c r="H793" s="257"/>
      <c r="I793" s="257"/>
      <c r="J793" s="257"/>
      <c r="K793" s="257"/>
    </row>
    <row r="794" spans="1:11" x14ac:dyDescent="0.25">
      <c r="A794" s="268"/>
      <c r="B794" s="268"/>
      <c r="C794" s="268"/>
      <c r="D794" s="257"/>
      <c r="E794" s="257"/>
      <c r="F794" s="257"/>
      <c r="G794" s="257"/>
      <c r="H794" s="257"/>
      <c r="I794" s="257"/>
      <c r="J794" s="257"/>
      <c r="K794" s="257"/>
    </row>
    <row r="795" spans="1:11" x14ac:dyDescent="0.25">
      <c r="A795" s="268"/>
      <c r="B795" s="268"/>
      <c r="C795" s="268"/>
      <c r="D795" s="257"/>
      <c r="E795" s="257"/>
      <c r="F795" s="257"/>
      <c r="G795" s="257"/>
      <c r="H795" s="257"/>
      <c r="I795" s="257"/>
      <c r="J795" s="257"/>
      <c r="K795" s="257"/>
    </row>
    <row r="796" spans="1:11" x14ac:dyDescent="0.25">
      <c r="A796" s="268"/>
      <c r="B796" s="268"/>
      <c r="C796" s="268"/>
      <c r="D796" s="257"/>
      <c r="E796" s="257"/>
      <c r="F796" s="257"/>
      <c r="G796" s="257"/>
      <c r="H796" s="257"/>
      <c r="I796" s="257"/>
      <c r="J796" s="257"/>
      <c r="K796" s="257"/>
    </row>
    <row r="797" spans="1:11" x14ac:dyDescent="0.25">
      <c r="A797" s="268"/>
      <c r="B797" s="268"/>
      <c r="C797" s="268"/>
      <c r="D797" s="257"/>
      <c r="E797" s="257"/>
      <c r="F797" s="257"/>
      <c r="G797" s="257"/>
      <c r="H797" s="257"/>
      <c r="I797" s="257"/>
      <c r="J797" s="257"/>
      <c r="K797" s="257"/>
    </row>
    <row r="798" spans="1:11" x14ac:dyDescent="0.25">
      <c r="A798" s="268"/>
      <c r="B798" s="268"/>
      <c r="C798" s="268"/>
      <c r="D798" s="257"/>
      <c r="E798" s="257"/>
      <c r="F798" s="257"/>
      <c r="G798" s="257"/>
      <c r="H798" s="257"/>
      <c r="I798" s="257"/>
      <c r="J798" s="257"/>
      <c r="K798" s="257"/>
    </row>
    <row r="799" spans="1:11" x14ac:dyDescent="0.25">
      <c r="A799" s="268"/>
      <c r="B799" s="268"/>
      <c r="C799" s="268"/>
      <c r="D799" s="257"/>
      <c r="E799" s="257"/>
      <c r="F799" s="257"/>
      <c r="G799" s="257"/>
      <c r="H799" s="257"/>
      <c r="I799" s="257"/>
      <c r="J799" s="257"/>
      <c r="K799" s="257"/>
    </row>
    <row r="800" spans="1:11" x14ac:dyDescent="0.25">
      <c r="A800" s="268"/>
      <c r="B800" s="268"/>
      <c r="C800" s="268"/>
      <c r="D800" s="257"/>
      <c r="E800" s="257"/>
      <c r="F800" s="257"/>
      <c r="G800" s="257"/>
      <c r="H800" s="257"/>
      <c r="I800" s="257"/>
      <c r="J800" s="257"/>
      <c r="K800" s="257"/>
    </row>
    <row r="801" spans="1:11" x14ac:dyDescent="0.25">
      <c r="A801" s="268"/>
      <c r="B801" s="268"/>
      <c r="C801" s="268"/>
      <c r="D801" s="257"/>
      <c r="E801" s="257"/>
      <c r="F801" s="257"/>
      <c r="G801" s="257"/>
      <c r="H801" s="257"/>
      <c r="I801" s="257"/>
      <c r="J801" s="257"/>
      <c r="K801" s="257"/>
    </row>
    <row r="802" spans="1:11" x14ac:dyDescent="0.25">
      <c r="A802" s="268"/>
      <c r="B802" s="268"/>
      <c r="C802" s="268"/>
      <c r="D802" s="257"/>
      <c r="E802" s="257"/>
      <c r="F802" s="257"/>
      <c r="G802" s="257"/>
      <c r="H802" s="257"/>
      <c r="I802" s="257"/>
      <c r="J802" s="257"/>
      <c r="K802" s="257"/>
    </row>
    <row r="803" spans="1:11" x14ac:dyDescent="0.25">
      <c r="A803" s="268"/>
      <c r="B803" s="268"/>
      <c r="C803" s="268"/>
      <c r="D803" s="257"/>
      <c r="E803" s="257"/>
      <c r="F803" s="257"/>
      <c r="G803" s="257"/>
      <c r="H803" s="257"/>
      <c r="I803" s="257"/>
      <c r="J803" s="257"/>
      <c r="K803" s="257"/>
    </row>
    <row r="804" spans="1:11" x14ac:dyDescent="0.25">
      <c r="A804" s="268"/>
      <c r="B804" s="268"/>
      <c r="C804" s="268"/>
      <c r="D804" s="257"/>
      <c r="E804" s="257"/>
      <c r="F804" s="257"/>
      <c r="G804" s="257"/>
      <c r="H804" s="257"/>
      <c r="I804" s="257"/>
      <c r="J804" s="257"/>
      <c r="K804" s="257"/>
    </row>
    <row r="805" spans="1:11" x14ac:dyDescent="0.25">
      <c r="A805" s="268"/>
      <c r="B805" s="268"/>
      <c r="C805" s="268"/>
      <c r="D805" s="257"/>
      <c r="E805" s="257"/>
      <c r="F805" s="257"/>
      <c r="G805" s="257"/>
      <c r="H805" s="257"/>
      <c r="I805" s="257"/>
      <c r="J805" s="257"/>
      <c r="K805" s="257"/>
    </row>
    <row r="806" spans="1:11" x14ac:dyDescent="0.25">
      <c r="A806" s="268"/>
      <c r="B806" s="268"/>
      <c r="C806" s="268"/>
      <c r="D806" s="257"/>
      <c r="E806" s="257"/>
      <c r="F806" s="257"/>
      <c r="G806" s="257"/>
      <c r="H806" s="257"/>
      <c r="I806" s="257"/>
      <c r="J806" s="257"/>
      <c r="K806" s="257"/>
    </row>
    <row r="807" spans="1:11" x14ac:dyDescent="0.25">
      <c r="A807" s="268"/>
      <c r="B807" s="268"/>
      <c r="C807" s="268"/>
      <c r="D807" s="257"/>
      <c r="E807" s="257"/>
      <c r="F807" s="257"/>
      <c r="G807" s="257"/>
      <c r="H807" s="257"/>
      <c r="I807" s="257"/>
      <c r="J807" s="257"/>
      <c r="K807" s="257"/>
    </row>
    <row r="808" spans="1:11" x14ac:dyDescent="0.25">
      <c r="A808" s="268"/>
      <c r="B808" s="268"/>
      <c r="C808" s="268"/>
      <c r="D808" s="257"/>
      <c r="E808" s="257"/>
      <c r="F808" s="257"/>
      <c r="G808" s="257"/>
      <c r="H808" s="257"/>
      <c r="I808" s="257"/>
      <c r="J808" s="257"/>
      <c r="K808" s="257"/>
    </row>
    <row r="809" spans="1:11" x14ac:dyDescent="0.25">
      <c r="A809" s="268"/>
      <c r="B809" s="268"/>
      <c r="C809" s="268"/>
      <c r="D809" s="257"/>
      <c r="E809" s="257"/>
      <c r="F809" s="257"/>
      <c r="G809" s="257"/>
      <c r="H809" s="257"/>
      <c r="I809" s="257"/>
      <c r="J809" s="257"/>
      <c r="K809" s="257"/>
    </row>
    <row r="810" spans="1:11" x14ac:dyDescent="0.25">
      <c r="A810" s="268"/>
      <c r="B810" s="268"/>
      <c r="C810" s="268"/>
      <c r="D810" s="257"/>
      <c r="E810" s="257"/>
      <c r="F810" s="257"/>
      <c r="G810" s="257"/>
      <c r="H810" s="257"/>
      <c r="I810" s="257"/>
      <c r="J810" s="257"/>
      <c r="K810" s="257"/>
    </row>
    <row r="811" spans="1:11" x14ac:dyDescent="0.25">
      <c r="A811" s="268"/>
      <c r="B811" s="268"/>
      <c r="C811" s="268"/>
      <c r="D811" s="257"/>
      <c r="E811" s="257"/>
      <c r="F811" s="257"/>
      <c r="G811" s="257"/>
      <c r="H811" s="257"/>
      <c r="I811" s="257"/>
      <c r="J811" s="257"/>
      <c r="K811" s="257"/>
    </row>
    <row r="812" spans="1:11" x14ac:dyDescent="0.25">
      <c r="A812" s="268"/>
      <c r="B812" s="268"/>
      <c r="C812" s="268"/>
      <c r="D812" s="257"/>
      <c r="E812" s="257"/>
      <c r="F812" s="257"/>
      <c r="G812" s="257"/>
      <c r="H812" s="257"/>
      <c r="I812" s="257"/>
      <c r="J812" s="257"/>
      <c r="K812" s="257"/>
    </row>
    <row r="813" spans="1:11" x14ac:dyDescent="0.25">
      <c r="A813" s="268"/>
      <c r="B813" s="268"/>
      <c r="C813" s="268"/>
      <c r="D813" s="257"/>
      <c r="E813" s="257"/>
      <c r="F813" s="257"/>
      <c r="G813" s="257"/>
      <c r="H813" s="257"/>
      <c r="I813" s="257"/>
      <c r="J813" s="257"/>
      <c r="K813" s="257"/>
    </row>
    <row r="814" spans="1:11" x14ac:dyDescent="0.25">
      <c r="A814" s="268"/>
      <c r="B814" s="268"/>
      <c r="C814" s="268"/>
      <c r="D814" s="257"/>
      <c r="E814" s="257"/>
      <c r="F814" s="257"/>
      <c r="G814" s="257"/>
      <c r="H814" s="257"/>
      <c r="I814" s="257"/>
      <c r="J814" s="257"/>
      <c r="K814" s="257"/>
    </row>
    <row r="815" spans="1:11" x14ac:dyDescent="0.25">
      <c r="A815" s="268"/>
      <c r="B815" s="268"/>
      <c r="C815" s="268"/>
      <c r="D815" s="257"/>
      <c r="E815" s="257"/>
      <c r="F815" s="257"/>
      <c r="G815" s="257"/>
      <c r="H815" s="257"/>
      <c r="I815" s="257"/>
      <c r="J815" s="257"/>
      <c r="K815" s="257"/>
    </row>
    <row r="816" spans="1:11" x14ac:dyDescent="0.25">
      <c r="A816" s="268"/>
      <c r="B816" s="268"/>
      <c r="C816" s="268"/>
      <c r="D816" s="257"/>
      <c r="E816" s="257"/>
      <c r="F816" s="257"/>
      <c r="G816" s="257"/>
      <c r="H816" s="257"/>
      <c r="I816" s="257"/>
      <c r="J816" s="257"/>
      <c r="K816" s="257"/>
    </row>
    <row r="817" spans="1:11" x14ac:dyDescent="0.25">
      <c r="A817" s="268"/>
      <c r="B817" s="268"/>
      <c r="C817" s="268"/>
      <c r="D817" s="257"/>
      <c r="E817" s="257"/>
      <c r="F817" s="257"/>
      <c r="G817" s="257"/>
      <c r="H817" s="257"/>
      <c r="I817" s="257"/>
      <c r="J817" s="257"/>
      <c r="K817" s="257"/>
    </row>
    <row r="818" spans="1:11" x14ac:dyDescent="0.25">
      <c r="A818" s="268"/>
      <c r="B818" s="268"/>
      <c r="C818" s="268"/>
      <c r="D818" s="257"/>
      <c r="E818" s="257"/>
      <c r="F818" s="257"/>
      <c r="G818" s="257"/>
      <c r="H818" s="257"/>
      <c r="I818" s="257"/>
      <c r="J818" s="257"/>
      <c r="K818" s="257"/>
    </row>
    <row r="819" spans="1:11" x14ac:dyDescent="0.25">
      <c r="A819" s="268"/>
      <c r="B819" s="268"/>
      <c r="C819" s="268"/>
      <c r="D819" s="257"/>
      <c r="E819" s="257"/>
      <c r="F819" s="257"/>
      <c r="G819" s="257"/>
      <c r="H819" s="257"/>
      <c r="I819" s="257"/>
      <c r="J819" s="257"/>
      <c r="K819" s="257"/>
    </row>
    <row r="820" spans="1:11" x14ac:dyDescent="0.25">
      <c r="A820" s="268"/>
      <c r="B820" s="268"/>
      <c r="C820" s="268"/>
      <c r="D820" s="257"/>
      <c r="E820" s="257"/>
      <c r="F820" s="257"/>
      <c r="G820" s="257"/>
      <c r="H820" s="257"/>
      <c r="I820" s="257"/>
      <c r="J820" s="257"/>
      <c r="K820" s="257"/>
    </row>
    <row r="821" spans="1:11" x14ac:dyDescent="0.25">
      <c r="A821" s="268"/>
      <c r="B821" s="268"/>
      <c r="C821" s="268"/>
      <c r="D821" s="257"/>
      <c r="E821" s="257"/>
      <c r="F821" s="257"/>
      <c r="G821" s="257"/>
      <c r="H821" s="257"/>
      <c r="I821" s="257"/>
      <c r="J821" s="257"/>
      <c r="K821" s="257"/>
    </row>
    <row r="822" spans="1:11" x14ac:dyDescent="0.25">
      <c r="A822" s="268"/>
      <c r="B822" s="268"/>
      <c r="C822" s="268"/>
      <c r="D822" s="257"/>
      <c r="E822" s="257"/>
      <c r="F822" s="257"/>
      <c r="G822" s="257"/>
      <c r="H822" s="257"/>
      <c r="I822" s="257"/>
      <c r="J822" s="257"/>
      <c r="K822" s="257"/>
    </row>
    <row r="823" spans="1:11" x14ac:dyDescent="0.25">
      <c r="A823" s="268"/>
      <c r="B823" s="268"/>
      <c r="C823" s="268"/>
      <c r="D823" s="257"/>
      <c r="E823" s="257"/>
      <c r="F823" s="257"/>
      <c r="G823" s="257"/>
      <c r="H823" s="257"/>
      <c r="I823" s="257"/>
      <c r="J823" s="257"/>
      <c r="K823" s="257"/>
    </row>
    <row r="824" spans="1:11" x14ac:dyDescent="0.25">
      <c r="A824" s="268"/>
      <c r="B824" s="268"/>
      <c r="C824" s="268"/>
      <c r="D824" s="257"/>
      <c r="E824" s="257"/>
      <c r="F824" s="257"/>
      <c r="G824" s="257"/>
      <c r="H824" s="257"/>
      <c r="I824" s="257"/>
      <c r="J824" s="257"/>
      <c r="K824" s="257"/>
    </row>
    <row r="825" spans="1:11" x14ac:dyDescent="0.25">
      <c r="A825" s="268"/>
      <c r="B825" s="268"/>
      <c r="C825" s="268"/>
      <c r="D825" s="257"/>
      <c r="E825" s="257"/>
      <c r="F825" s="257"/>
      <c r="G825" s="257"/>
      <c r="H825" s="257"/>
      <c r="I825" s="257"/>
      <c r="J825" s="257"/>
      <c r="K825" s="257"/>
    </row>
    <row r="826" spans="1:11" x14ac:dyDescent="0.25">
      <c r="A826" s="268"/>
      <c r="B826" s="268"/>
      <c r="C826" s="268"/>
      <c r="D826" s="257"/>
      <c r="E826" s="257"/>
      <c r="F826" s="257"/>
      <c r="G826" s="257"/>
      <c r="H826" s="257"/>
      <c r="I826" s="257"/>
      <c r="J826" s="257"/>
      <c r="K826" s="257"/>
    </row>
    <row r="827" spans="1:11" x14ac:dyDescent="0.25">
      <c r="A827" s="268"/>
      <c r="B827" s="268"/>
      <c r="C827" s="268"/>
      <c r="D827" s="257"/>
      <c r="E827" s="257"/>
      <c r="F827" s="257"/>
      <c r="G827" s="257"/>
      <c r="H827" s="257"/>
      <c r="I827" s="257"/>
      <c r="J827" s="257"/>
      <c r="K827" s="257"/>
    </row>
    <row r="828" spans="1:11" x14ac:dyDescent="0.25">
      <c r="A828" s="268"/>
      <c r="B828" s="268"/>
      <c r="C828" s="268"/>
      <c r="D828" s="257"/>
      <c r="E828" s="257"/>
      <c r="F828" s="257"/>
      <c r="G828" s="257"/>
      <c r="H828" s="257"/>
      <c r="I828" s="257"/>
      <c r="J828" s="257"/>
      <c r="K828" s="257"/>
    </row>
    <row r="829" spans="1:11" x14ac:dyDescent="0.25">
      <c r="A829" s="268"/>
      <c r="B829" s="268"/>
      <c r="C829" s="268"/>
      <c r="D829" s="257"/>
      <c r="E829" s="257"/>
      <c r="F829" s="257"/>
      <c r="G829" s="257"/>
      <c r="H829" s="257"/>
      <c r="I829" s="257"/>
      <c r="J829" s="257"/>
      <c r="K829" s="257"/>
    </row>
    <row r="830" spans="1:11" x14ac:dyDescent="0.25">
      <c r="A830" s="268"/>
      <c r="B830" s="268"/>
      <c r="C830" s="268"/>
      <c r="D830" s="257"/>
      <c r="E830" s="257"/>
      <c r="F830" s="257"/>
      <c r="G830" s="257"/>
      <c r="H830" s="257"/>
      <c r="I830" s="257"/>
      <c r="J830" s="257"/>
      <c r="K830" s="257"/>
    </row>
    <row r="831" spans="1:11" x14ac:dyDescent="0.25">
      <c r="A831" s="268"/>
      <c r="B831" s="268"/>
      <c r="C831" s="268"/>
      <c r="D831" s="257"/>
      <c r="E831" s="257"/>
      <c r="F831" s="257"/>
      <c r="G831" s="257"/>
      <c r="H831" s="257"/>
      <c r="I831" s="257"/>
      <c r="J831" s="257"/>
      <c r="K831" s="257"/>
    </row>
    <row r="832" spans="1:11" x14ac:dyDescent="0.25">
      <c r="A832" s="268"/>
      <c r="B832" s="268"/>
      <c r="C832" s="268"/>
      <c r="D832" s="257"/>
      <c r="E832" s="257"/>
      <c r="F832" s="257"/>
      <c r="G832" s="257"/>
      <c r="H832" s="257"/>
      <c r="I832" s="257"/>
      <c r="J832" s="257"/>
      <c r="K832" s="257"/>
    </row>
    <row r="833" spans="1:11" x14ac:dyDescent="0.25">
      <c r="A833" s="268"/>
      <c r="B833" s="268"/>
      <c r="C833" s="268"/>
      <c r="D833" s="257"/>
      <c r="E833" s="257"/>
      <c r="F833" s="257"/>
      <c r="G833" s="257"/>
      <c r="H833" s="257"/>
      <c r="I833" s="257"/>
      <c r="J833" s="257"/>
      <c r="K833" s="257"/>
    </row>
    <row r="834" spans="1:11" x14ac:dyDescent="0.25">
      <c r="A834" s="268"/>
      <c r="B834" s="268"/>
      <c r="C834" s="268"/>
      <c r="D834" s="257"/>
      <c r="E834" s="257"/>
      <c r="F834" s="257"/>
      <c r="G834" s="257"/>
      <c r="H834" s="257"/>
      <c r="I834" s="257"/>
      <c r="J834" s="257"/>
      <c r="K834" s="257"/>
    </row>
    <row r="835" spans="1:11" x14ac:dyDescent="0.25">
      <c r="A835" s="268"/>
      <c r="B835" s="268"/>
      <c r="C835" s="268"/>
      <c r="D835" s="257"/>
      <c r="E835" s="257"/>
      <c r="F835" s="257"/>
      <c r="G835" s="257"/>
      <c r="H835" s="257"/>
      <c r="I835" s="257"/>
      <c r="J835" s="257"/>
      <c r="K835" s="257"/>
    </row>
    <row r="836" spans="1:11" x14ac:dyDescent="0.25">
      <c r="A836" s="268"/>
      <c r="B836" s="268"/>
      <c r="C836" s="268"/>
      <c r="D836" s="257"/>
      <c r="E836" s="257"/>
      <c r="F836" s="257"/>
      <c r="G836" s="257"/>
      <c r="H836" s="257"/>
      <c r="I836" s="257"/>
      <c r="J836" s="257"/>
      <c r="K836" s="257"/>
    </row>
    <row r="837" spans="1:11" x14ac:dyDescent="0.25">
      <c r="A837" s="268"/>
      <c r="B837" s="268"/>
      <c r="C837" s="268"/>
      <c r="D837" s="257"/>
      <c r="E837" s="257"/>
      <c r="F837" s="257"/>
      <c r="G837" s="257"/>
      <c r="H837" s="257"/>
      <c r="I837" s="257"/>
      <c r="J837" s="257"/>
      <c r="K837" s="257"/>
    </row>
    <row r="838" spans="1:11" x14ac:dyDescent="0.25">
      <c r="A838" s="268"/>
      <c r="B838" s="268"/>
      <c r="C838" s="268"/>
      <c r="D838" s="257"/>
      <c r="E838" s="257"/>
      <c r="F838" s="257"/>
      <c r="G838" s="257"/>
      <c r="H838" s="257"/>
      <c r="I838" s="257"/>
      <c r="J838" s="257"/>
      <c r="K838" s="257"/>
    </row>
    <row r="839" spans="1:11" x14ac:dyDescent="0.25">
      <c r="A839" s="268"/>
      <c r="B839" s="268"/>
      <c r="C839" s="268"/>
      <c r="D839" s="257"/>
      <c r="E839" s="257"/>
      <c r="F839" s="257"/>
      <c r="G839" s="257"/>
      <c r="H839" s="257"/>
      <c r="I839" s="257"/>
      <c r="J839" s="257"/>
      <c r="K839" s="257"/>
    </row>
    <row r="840" spans="1:11" x14ac:dyDescent="0.25">
      <c r="A840" s="268"/>
      <c r="B840" s="268"/>
      <c r="C840" s="268"/>
      <c r="D840" s="257"/>
      <c r="E840" s="257"/>
      <c r="F840" s="257"/>
      <c r="G840" s="257"/>
      <c r="H840" s="257"/>
      <c r="I840" s="257"/>
      <c r="J840" s="257"/>
      <c r="K840" s="257"/>
    </row>
    <row r="841" spans="1:11" x14ac:dyDescent="0.25">
      <c r="A841" s="268"/>
      <c r="B841" s="268"/>
      <c r="C841" s="268"/>
      <c r="D841" s="257"/>
      <c r="E841" s="257"/>
      <c r="F841" s="257"/>
      <c r="G841" s="257"/>
      <c r="H841" s="257"/>
      <c r="I841" s="257"/>
      <c r="J841" s="257"/>
      <c r="K841" s="257"/>
    </row>
    <row r="842" spans="1:11" x14ac:dyDescent="0.25">
      <c r="A842" s="268"/>
      <c r="B842" s="268"/>
      <c r="C842" s="268"/>
      <c r="D842" s="257"/>
      <c r="E842" s="257"/>
      <c r="F842" s="257"/>
      <c r="G842" s="257"/>
      <c r="H842" s="257"/>
      <c r="I842" s="257"/>
      <c r="J842" s="257"/>
      <c r="K842" s="257"/>
    </row>
    <row r="843" spans="1:11" x14ac:dyDescent="0.25">
      <c r="A843" s="268"/>
      <c r="B843" s="268"/>
      <c r="C843" s="268"/>
      <c r="D843" s="257"/>
      <c r="E843" s="257"/>
      <c r="F843" s="257"/>
      <c r="G843" s="257"/>
      <c r="H843" s="257"/>
      <c r="I843" s="257"/>
      <c r="J843" s="257"/>
      <c r="K843" s="257"/>
    </row>
    <row r="844" spans="1:11" x14ac:dyDescent="0.25">
      <c r="A844" s="268"/>
      <c r="B844" s="268"/>
      <c r="C844" s="268"/>
      <c r="D844" s="257"/>
      <c r="E844" s="257"/>
      <c r="F844" s="257"/>
      <c r="G844" s="257"/>
      <c r="H844" s="257"/>
      <c r="I844" s="257"/>
      <c r="J844" s="257"/>
      <c r="K844" s="257"/>
    </row>
    <row r="845" spans="1:11" x14ac:dyDescent="0.25">
      <c r="A845" s="268"/>
      <c r="B845" s="268"/>
      <c r="C845" s="268"/>
      <c r="D845" s="257"/>
      <c r="E845" s="257"/>
      <c r="F845" s="257"/>
      <c r="G845" s="257"/>
      <c r="H845" s="257"/>
      <c r="I845" s="257"/>
      <c r="J845" s="257"/>
      <c r="K845" s="257"/>
    </row>
    <row r="846" spans="1:11" x14ac:dyDescent="0.25">
      <c r="A846" s="268"/>
      <c r="B846" s="268"/>
      <c r="C846" s="268"/>
      <c r="D846" s="257"/>
      <c r="E846" s="257"/>
      <c r="F846" s="257"/>
      <c r="G846" s="257"/>
      <c r="H846" s="257"/>
      <c r="I846" s="257"/>
      <c r="J846" s="257"/>
      <c r="K846" s="257"/>
    </row>
    <row r="847" spans="1:11" x14ac:dyDescent="0.25">
      <c r="A847" s="268"/>
      <c r="B847" s="268"/>
      <c r="C847" s="268"/>
      <c r="D847" s="257"/>
      <c r="E847" s="257"/>
      <c r="F847" s="257"/>
      <c r="G847" s="257"/>
      <c r="H847" s="257"/>
      <c r="I847" s="257"/>
      <c r="J847" s="257"/>
      <c r="K847" s="257"/>
    </row>
    <row r="848" spans="1:11" x14ac:dyDescent="0.25">
      <c r="A848" s="268"/>
      <c r="B848" s="268"/>
      <c r="C848" s="268"/>
      <c r="D848" s="257"/>
      <c r="E848" s="257"/>
      <c r="F848" s="257"/>
      <c r="G848" s="257"/>
      <c r="H848" s="257"/>
      <c r="I848" s="257"/>
      <c r="J848" s="257"/>
      <c r="K848" s="257"/>
    </row>
    <row r="849" spans="1:11" x14ac:dyDescent="0.25">
      <c r="A849" s="268"/>
      <c r="B849" s="268"/>
      <c r="C849" s="268"/>
      <c r="D849" s="257"/>
      <c r="E849" s="257"/>
      <c r="F849" s="257"/>
      <c r="G849" s="257"/>
      <c r="H849" s="257"/>
      <c r="I849" s="257"/>
      <c r="J849" s="257"/>
      <c r="K849" s="257"/>
    </row>
    <row r="850" spans="1:11" x14ac:dyDescent="0.25">
      <c r="A850" s="268"/>
      <c r="B850" s="268"/>
      <c r="C850" s="268"/>
      <c r="D850" s="257"/>
      <c r="E850" s="257"/>
      <c r="F850" s="257"/>
      <c r="G850" s="257"/>
      <c r="H850" s="257"/>
      <c r="I850" s="257"/>
      <c r="J850" s="257"/>
      <c r="K850" s="257"/>
    </row>
    <row r="851" spans="1:11" x14ac:dyDescent="0.25">
      <c r="A851" s="268"/>
      <c r="B851" s="268"/>
      <c r="C851" s="268"/>
      <c r="D851" s="257"/>
      <c r="E851" s="257"/>
      <c r="F851" s="257"/>
      <c r="G851" s="257"/>
      <c r="H851" s="257"/>
      <c r="I851" s="257"/>
      <c r="J851" s="257"/>
      <c r="K851" s="257"/>
    </row>
    <row r="852" spans="1:11" x14ac:dyDescent="0.25">
      <c r="A852" s="268"/>
      <c r="B852" s="268"/>
      <c r="C852" s="268"/>
      <c r="D852" s="257"/>
      <c r="E852" s="257"/>
      <c r="F852" s="257"/>
      <c r="G852" s="257"/>
      <c r="H852" s="257"/>
      <c r="I852" s="257"/>
      <c r="J852" s="257"/>
      <c r="K852" s="257"/>
    </row>
    <row r="853" spans="1:11" x14ac:dyDescent="0.25">
      <c r="A853" s="268"/>
      <c r="B853" s="268"/>
      <c r="C853" s="268"/>
      <c r="D853" s="257"/>
      <c r="E853" s="257"/>
      <c r="F853" s="257"/>
      <c r="G853" s="257"/>
      <c r="H853" s="257"/>
      <c r="I853" s="257"/>
      <c r="J853" s="257"/>
      <c r="K853" s="257"/>
    </row>
    <row r="854" spans="1:11" x14ac:dyDescent="0.25">
      <c r="A854" s="268"/>
      <c r="B854" s="268"/>
      <c r="C854" s="268"/>
      <c r="D854" s="257"/>
      <c r="E854" s="257"/>
      <c r="F854" s="257"/>
      <c r="G854" s="257"/>
      <c r="H854" s="257"/>
      <c r="I854" s="257"/>
      <c r="J854" s="257"/>
      <c r="K854" s="257"/>
    </row>
    <row r="855" spans="1:11" x14ac:dyDescent="0.25">
      <c r="A855" s="268"/>
      <c r="B855" s="268"/>
      <c r="C855" s="268"/>
      <c r="D855" s="257"/>
      <c r="E855" s="257"/>
      <c r="F855" s="257"/>
      <c r="G855" s="257"/>
      <c r="H855" s="257"/>
      <c r="I855" s="257"/>
      <c r="J855" s="257"/>
      <c r="K855" s="257"/>
    </row>
    <row r="856" spans="1:11" x14ac:dyDescent="0.25">
      <c r="A856" s="268"/>
      <c r="B856" s="268"/>
      <c r="C856" s="268"/>
      <c r="D856" s="257"/>
      <c r="E856" s="257"/>
      <c r="F856" s="257"/>
      <c r="G856" s="257"/>
      <c r="H856" s="257"/>
      <c r="I856" s="257"/>
      <c r="J856" s="257"/>
      <c r="K856" s="257"/>
    </row>
    <row r="857" spans="1:11" x14ac:dyDescent="0.25">
      <c r="A857" s="268"/>
      <c r="B857" s="268"/>
      <c r="C857" s="268"/>
      <c r="D857" s="257"/>
      <c r="E857" s="257"/>
      <c r="F857" s="257"/>
      <c r="G857" s="257"/>
      <c r="H857" s="257"/>
      <c r="I857" s="257"/>
      <c r="J857" s="257"/>
      <c r="K857" s="257"/>
    </row>
    <row r="858" spans="1:11" x14ac:dyDescent="0.25">
      <c r="A858" s="268"/>
      <c r="B858" s="268"/>
      <c r="C858" s="268"/>
      <c r="D858" s="257"/>
      <c r="E858" s="257"/>
      <c r="F858" s="257"/>
      <c r="G858" s="257"/>
      <c r="H858" s="257"/>
      <c r="I858" s="257"/>
      <c r="J858" s="257"/>
      <c r="K858" s="257"/>
    </row>
    <row r="859" spans="1:11" x14ac:dyDescent="0.25">
      <c r="A859" s="268"/>
      <c r="B859" s="268"/>
      <c r="C859" s="268"/>
      <c r="D859" s="257"/>
      <c r="E859" s="257"/>
      <c r="F859" s="257"/>
      <c r="G859" s="257"/>
      <c r="H859" s="257"/>
      <c r="I859" s="257"/>
      <c r="J859" s="257"/>
      <c r="K859" s="257"/>
    </row>
    <row r="860" spans="1:11" x14ac:dyDescent="0.25">
      <c r="A860" s="268"/>
      <c r="B860" s="268"/>
      <c r="C860" s="268"/>
      <c r="D860" s="257"/>
      <c r="E860" s="257"/>
      <c r="F860" s="257"/>
      <c r="G860" s="257"/>
      <c r="H860" s="257"/>
      <c r="I860" s="257"/>
      <c r="J860" s="257"/>
      <c r="K860" s="257"/>
    </row>
    <row r="861" spans="1:11" x14ac:dyDescent="0.25">
      <c r="A861" s="268"/>
      <c r="B861" s="268"/>
      <c r="C861" s="268"/>
      <c r="D861" s="257"/>
      <c r="E861" s="257"/>
      <c r="F861" s="257"/>
      <c r="G861" s="257"/>
      <c r="H861" s="257"/>
      <c r="I861" s="257"/>
      <c r="J861" s="257"/>
      <c r="K861" s="257"/>
    </row>
    <row r="862" spans="1:11" x14ac:dyDescent="0.25">
      <c r="A862" s="268"/>
      <c r="B862" s="268"/>
      <c r="C862" s="268"/>
      <c r="D862" s="257"/>
      <c r="E862" s="257"/>
      <c r="F862" s="257"/>
      <c r="G862" s="257"/>
      <c r="H862" s="257"/>
      <c r="I862" s="257"/>
      <c r="J862" s="257"/>
      <c r="K862" s="257"/>
    </row>
    <row r="863" spans="1:11" x14ac:dyDescent="0.25">
      <c r="A863" s="268"/>
      <c r="B863" s="268"/>
      <c r="C863" s="268"/>
      <c r="D863" s="257"/>
      <c r="E863" s="257"/>
      <c r="F863" s="257"/>
      <c r="G863" s="257"/>
      <c r="H863" s="257"/>
      <c r="I863" s="257"/>
      <c r="J863" s="257"/>
      <c r="K863" s="257"/>
    </row>
    <row r="864" spans="1:11" x14ac:dyDescent="0.25">
      <c r="A864" s="268"/>
      <c r="B864" s="268"/>
      <c r="C864" s="268"/>
      <c r="D864" s="257"/>
      <c r="E864" s="257"/>
      <c r="F864" s="257"/>
      <c r="G864" s="257"/>
      <c r="H864" s="257"/>
      <c r="I864" s="257"/>
      <c r="J864" s="257"/>
      <c r="K864" s="257"/>
    </row>
    <row r="865" spans="1:11" x14ac:dyDescent="0.25">
      <c r="A865" s="268"/>
      <c r="B865" s="268"/>
      <c r="C865" s="268"/>
      <c r="D865" s="257"/>
      <c r="E865" s="257"/>
      <c r="F865" s="257"/>
      <c r="G865" s="257"/>
      <c r="H865" s="257"/>
      <c r="I865" s="257"/>
      <c r="J865" s="257"/>
      <c r="K865" s="257"/>
    </row>
    <row r="866" spans="1:11" x14ac:dyDescent="0.25">
      <c r="A866" s="268"/>
      <c r="B866" s="268"/>
      <c r="C866" s="268"/>
      <c r="D866" s="257"/>
      <c r="E866" s="257"/>
      <c r="F866" s="257"/>
      <c r="G866" s="257"/>
      <c r="H866" s="257"/>
      <c r="I866" s="257"/>
      <c r="J866" s="257"/>
      <c r="K866" s="257"/>
    </row>
    <row r="867" spans="1:11" x14ac:dyDescent="0.25">
      <c r="A867" s="268"/>
      <c r="B867" s="268"/>
      <c r="C867" s="268"/>
      <c r="D867" s="257"/>
      <c r="E867" s="257"/>
      <c r="F867" s="257"/>
      <c r="G867" s="257"/>
      <c r="H867" s="257"/>
      <c r="I867" s="257"/>
      <c r="J867" s="257"/>
      <c r="K867" s="257"/>
    </row>
    <row r="868" spans="1:11" x14ac:dyDescent="0.25">
      <c r="A868" s="268"/>
      <c r="B868" s="268"/>
      <c r="C868" s="268"/>
      <c r="D868" s="257"/>
      <c r="E868" s="257"/>
      <c r="F868" s="257"/>
      <c r="G868" s="257"/>
      <c r="H868" s="257"/>
      <c r="I868" s="257"/>
      <c r="J868" s="257"/>
      <c r="K868" s="257"/>
    </row>
    <row r="869" spans="1:11" x14ac:dyDescent="0.25">
      <c r="A869" s="268"/>
      <c r="B869" s="268"/>
      <c r="C869" s="268"/>
      <c r="D869" s="257"/>
      <c r="E869" s="257"/>
      <c r="F869" s="257"/>
      <c r="G869" s="257"/>
      <c r="H869" s="257"/>
      <c r="I869" s="257"/>
      <c r="J869" s="257"/>
      <c r="K869" s="257"/>
    </row>
    <row r="870" spans="1:11" x14ac:dyDescent="0.25">
      <c r="A870" s="268"/>
      <c r="B870" s="268"/>
      <c r="C870" s="268"/>
      <c r="D870" s="257"/>
      <c r="E870" s="257"/>
      <c r="F870" s="257"/>
      <c r="G870" s="257"/>
      <c r="H870" s="257"/>
      <c r="I870" s="257"/>
      <c r="J870" s="257"/>
      <c r="K870" s="257"/>
    </row>
    <row r="871" spans="1:11" x14ac:dyDescent="0.25">
      <c r="A871" s="268"/>
      <c r="B871" s="268"/>
      <c r="C871" s="268"/>
      <c r="D871" s="257"/>
      <c r="E871" s="257"/>
      <c r="F871" s="257"/>
      <c r="G871" s="257"/>
      <c r="H871" s="257"/>
      <c r="I871" s="257"/>
      <c r="J871" s="257"/>
      <c r="K871" s="257"/>
    </row>
    <row r="872" spans="1:11" x14ac:dyDescent="0.25">
      <c r="A872" s="268"/>
      <c r="B872" s="268"/>
      <c r="C872" s="268"/>
      <c r="D872" s="257"/>
      <c r="E872" s="257"/>
      <c r="F872" s="257"/>
      <c r="G872" s="257"/>
      <c r="H872" s="257"/>
      <c r="I872" s="257"/>
      <c r="J872" s="257"/>
      <c r="K872" s="257"/>
    </row>
    <row r="873" spans="1:11" x14ac:dyDescent="0.25">
      <c r="A873" s="268"/>
      <c r="B873" s="268"/>
      <c r="C873" s="268"/>
      <c r="D873" s="257"/>
      <c r="E873" s="257"/>
      <c r="F873" s="257"/>
      <c r="G873" s="257"/>
      <c r="H873" s="257"/>
      <c r="I873" s="257"/>
      <c r="J873" s="257"/>
      <c r="K873" s="257"/>
    </row>
    <row r="874" spans="1:11" x14ac:dyDescent="0.25">
      <c r="A874" s="268"/>
      <c r="B874" s="268"/>
      <c r="C874" s="268"/>
      <c r="D874" s="257"/>
      <c r="E874" s="257"/>
      <c r="F874" s="257"/>
      <c r="G874" s="257"/>
      <c r="H874" s="257"/>
      <c r="I874" s="257"/>
      <c r="J874" s="257"/>
      <c r="K874" s="257"/>
    </row>
    <row r="875" spans="1:11" x14ac:dyDescent="0.25">
      <c r="A875" s="268"/>
      <c r="B875" s="268"/>
      <c r="C875" s="268"/>
      <c r="D875" s="257"/>
      <c r="E875" s="257"/>
      <c r="F875" s="257"/>
      <c r="G875" s="257"/>
      <c r="H875" s="257"/>
      <c r="I875" s="257"/>
      <c r="J875" s="257"/>
      <c r="K875" s="257"/>
    </row>
    <row r="876" spans="1:11" x14ac:dyDescent="0.25">
      <c r="A876" s="268"/>
      <c r="B876" s="268"/>
      <c r="C876" s="268"/>
      <c r="D876" s="257"/>
      <c r="E876" s="257"/>
      <c r="F876" s="257"/>
      <c r="G876" s="257"/>
      <c r="H876" s="257"/>
      <c r="I876" s="257"/>
      <c r="J876" s="257"/>
      <c r="K876" s="257"/>
    </row>
    <row r="877" spans="1:11" x14ac:dyDescent="0.25">
      <c r="A877" s="268"/>
      <c r="B877" s="268"/>
      <c r="C877" s="268"/>
      <c r="D877" s="257"/>
      <c r="E877" s="257"/>
      <c r="F877" s="257"/>
      <c r="G877" s="257"/>
      <c r="H877" s="257"/>
      <c r="I877" s="257"/>
      <c r="J877" s="257"/>
      <c r="K877" s="257"/>
    </row>
    <row r="878" spans="1:11" x14ac:dyDescent="0.25">
      <c r="A878" s="268"/>
      <c r="B878" s="268"/>
      <c r="C878" s="268"/>
      <c r="D878" s="257"/>
      <c r="E878" s="257"/>
      <c r="F878" s="257"/>
      <c r="G878" s="257"/>
      <c r="H878" s="257"/>
      <c r="I878" s="257"/>
      <c r="J878" s="257"/>
      <c r="K878" s="257"/>
    </row>
    <row r="879" spans="1:11" x14ac:dyDescent="0.25">
      <c r="A879" s="268"/>
      <c r="B879" s="268"/>
      <c r="C879" s="268"/>
      <c r="D879" s="257"/>
      <c r="E879" s="257"/>
      <c r="F879" s="257"/>
      <c r="G879" s="257"/>
      <c r="H879" s="257"/>
      <c r="I879" s="257"/>
      <c r="J879" s="257"/>
      <c r="K879" s="257"/>
    </row>
    <row r="880" spans="1:11" x14ac:dyDescent="0.25">
      <c r="A880" s="268"/>
      <c r="B880" s="268"/>
      <c r="C880" s="268"/>
      <c r="D880" s="257"/>
      <c r="E880" s="257"/>
      <c r="F880" s="257"/>
      <c r="G880" s="257"/>
      <c r="H880" s="257"/>
      <c r="I880" s="257"/>
      <c r="J880" s="257"/>
      <c r="K880" s="257"/>
    </row>
    <row r="881" spans="1:11" x14ac:dyDescent="0.25">
      <c r="A881" s="268"/>
      <c r="B881" s="268"/>
      <c r="C881" s="268"/>
      <c r="D881" s="257"/>
      <c r="E881" s="257"/>
      <c r="F881" s="257"/>
      <c r="G881" s="257"/>
      <c r="H881" s="257"/>
      <c r="I881" s="257"/>
      <c r="J881" s="257"/>
      <c r="K881" s="257"/>
    </row>
    <row r="882" spans="1:11" x14ac:dyDescent="0.25">
      <c r="A882" s="268"/>
      <c r="B882" s="268"/>
      <c r="C882" s="268"/>
      <c r="D882" s="257"/>
      <c r="E882" s="257"/>
      <c r="F882" s="257"/>
      <c r="G882" s="257"/>
      <c r="H882" s="257"/>
      <c r="I882" s="257"/>
      <c r="J882" s="257"/>
      <c r="K882" s="257"/>
    </row>
    <row r="883" spans="1:11" x14ac:dyDescent="0.25">
      <c r="A883" s="268"/>
      <c r="B883" s="268"/>
      <c r="C883" s="268"/>
      <c r="D883" s="257"/>
      <c r="E883" s="257"/>
      <c r="F883" s="257"/>
      <c r="G883" s="257"/>
      <c r="H883" s="257"/>
      <c r="I883" s="257"/>
      <c r="J883" s="257"/>
      <c r="K883" s="257"/>
    </row>
    <row r="884" spans="1:11" x14ac:dyDescent="0.25">
      <c r="A884" s="268"/>
      <c r="B884" s="268"/>
      <c r="C884" s="268"/>
      <c r="D884" s="257"/>
      <c r="E884" s="257"/>
      <c r="F884" s="257"/>
      <c r="G884" s="257"/>
      <c r="H884" s="257"/>
      <c r="I884" s="257"/>
      <c r="J884" s="257"/>
      <c r="K884" s="257"/>
    </row>
    <row r="885" spans="1:11" x14ac:dyDescent="0.25">
      <c r="A885" s="268"/>
      <c r="B885" s="268"/>
      <c r="C885" s="268"/>
      <c r="D885" s="257"/>
      <c r="E885" s="257"/>
      <c r="F885" s="257"/>
      <c r="G885" s="257"/>
      <c r="H885" s="257"/>
      <c r="I885" s="257"/>
      <c r="J885" s="257"/>
      <c r="K885" s="257"/>
    </row>
    <row r="886" spans="1:11" x14ac:dyDescent="0.25">
      <c r="A886" s="268"/>
      <c r="B886" s="268"/>
      <c r="C886" s="268"/>
      <c r="D886" s="257"/>
      <c r="E886" s="257"/>
      <c r="F886" s="257"/>
      <c r="G886" s="257"/>
      <c r="H886" s="257"/>
      <c r="I886" s="257"/>
      <c r="J886" s="257"/>
      <c r="K886" s="257"/>
    </row>
    <row r="887" spans="1:11" x14ac:dyDescent="0.25">
      <c r="A887" s="268"/>
      <c r="B887" s="268"/>
      <c r="C887" s="268"/>
      <c r="D887" s="257"/>
      <c r="E887" s="257"/>
      <c r="F887" s="257"/>
      <c r="G887" s="257"/>
      <c r="H887" s="257"/>
      <c r="I887" s="257"/>
      <c r="J887" s="257"/>
      <c r="K887" s="257"/>
    </row>
    <row r="888" spans="1:11" x14ac:dyDescent="0.25">
      <c r="A888" s="268"/>
      <c r="B888" s="268"/>
      <c r="C888" s="268"/>
      <c r="D888" s="257"/>
      <c r="E888" s="257"/>
      <c r="F888" s="257"/>
      <c r="G888" s="257"/>
      <c r="H888" s="257"/>
      <c r="I888" s="257"/>
      <c r="J888" s="257"/>
      <c r="K888" s="257"/>
    </row>
    <row r="889" spans="1:11" x14ac:dyDescent="0.25">
      <c r="A889" s="268"/>
      <c r="B889" s="268"/>
      <c r="C889" s="268"/>
      <c r="D889" s="257"/>
      <c r="E889" s="257"/>
      <c r="F889" s="257"/>
      <c r="G889" s="257"/>
      <c r="H889" s="257"/>
      <c r="I889" s="257"/>
      <c r="J889" s="257"/>
      <c r="K889" s="257"/>
    </row>
    <row r="890" spans="1:11" x14ac:dyDescent="0.25">
      <c r="A890" s="268"/>
      <c r="B890" s="268"/>
      <c r="C890" s="268"/>
      <c r="D890" s="257"/>
      <c r="E890" s="257"/>
      <c r="F890" s="257"/>
      <c r="G890" s="257"/>
      <c r="H890" s="257"/>
      <c r="I890" s="257"/>
      <c r="J890" s="257"/>
      <c r="K890" s="257"/>
    </row>
    <row r="891" spans="1:11" x14ac:dyDescent="0.25">
      <c r="A891" s="268"/>
      <c r="B891" s="268"/>
      <c r="C891" s="268"/>
      <c r="D891" s="257"/>
      <c r="E891" s="257"/>
      <c r="F891" s="257"/>
      <c r="G891" s="257"/>
      <c r="H891" s="257"/>
      <c r="I891" s="257"/>
      <c r="J891" s="257"/>
      <c r="K891" s="257"/>
    </row>
    <row r="892" spans="1:11" x14ac:dyDescent="0.25">
      <c r="A892" s="268"/>
      <c r="B892" s="268"/>
      <c r="C892" s="268"/>
      <c r="D892" s="257"/>
      <c r="E892" s="257"/>
      <c r="F892" s="257"/>
      <c r="G892" s="257"/>
      <c r="H892" s="257"/>
      <c r="I892" s="257"/>
      <c r="J892" s="257"/>
      <c r="K892" s="257"/>
    </row>
    <row r="893" spans="1:11" x14ac:dyDescent="0.25">
      <c r="A893" s="268"/>
      <c r="B893" s="268"/>
      <c r="C893" s="268"/>
      <c r="D893" s="257"/>
      <c r="E893" s="257"/>
      <c r="F893" s="257"/>
      <c r="G893" s="257"/>
      <c r="H893" s="257"/>
      <c r="I893" s="257"/>
      <c r="J893" s="257"/>
      <c r="K893" s="257"/>
    </row>
    <row r="894" spans="1:11" x14ac:dyDescent="0.25">
      <c r="A894" s="268"/>
      <c r="B894" s="268"/>
      <c r="C894" s="268"/>
      <c r="D894" s="257"/>
      <c r="E894" s="257"/>
      <c r="F894" s="257"/>
      <c r="G894" s="257"/>
      <c r="H894" s="257"/>
      <c r="I894" s="257"/>
      <c r="J894" s="257"/>
      <c r="K894" s="257"/>
    </row>
    <row r="895" spans="1:11" x14ac:dyDescent="0.25">
      <c r="A895" s="268"/>
      <c r="B895" s="268"/>
      <c r="C895" s="268"/>
      <c r="D895" s="257"/>
      <c r="E895" s="257"/>
      <c r="F895" s="257"/>
      <c r="G895" s="257"/>
      <c r="H895" s="257"/>
      <c r="I895" s="257"/>
      <c r="J895" s="257"/>
      <c r="K895" s="257"/>
    </row>
    <row r="896" spans="1:11" x14ac:dyDescent="0.25">
      <c r="A896" s="268"/>
      <c r="B896" s="268"/>
      <c r="C896" s="268"/>
      <c r="D896" s="257"/>
      <c r="E896" s="257"/>
      <c r="F896" s="257"/>
      <c r="G896" s="257"/>
      <c r="H896" s="257"/>
      <c r="I896" s="257"/>
      <c r="J896" s="257"/>
      <c r="K896" s="257"/>
    </row>
    <row r="897" spans="1:11" x14ac:dyDescent="0.25">
      <c r="A897" s="268"/>
      <c r="B897" s="268"/>
      <c r="C897" s="268"/>
      <c r="D897" s="257"/>
      <c r="E897" s="257"/>
      <c r="F897" s="257"/>
      <c r="G897" s="257"/>
      <c r="H897" s="257"/>
      <c r="I897" s="257"/>
      <c r="J897" s="257"/>
      <c r="K897" s="257"/>
    </row>
    <row r="898" spans="1:11" x14ac:dyDescent="0.25">
      <c r="A898" s="268"/>
      <c r="B898" s="268"/>
      <c r="C898" s="268"/>
      <c r="D898" s="257"/>
      <c r="E898" s="257"/>
      <c r="F898" s="257"/>
      <c r="G898" s="257"/>
      <c r="H898" s="257"/>
      <c r="I898" s="257"/>
      <c r="J898" s="257"/>
      <c r="K898" s="257"/>
    </row>
    <row r="899" spans="1:11" x14ac:dyDescent="0.25">
      <c r="A899" s="268"/>
      <c r="B899" s="268"/>
      <c r="C899" s="268"/>
      <c r="D899" s="257"/>
      <c r="E899" s="257"/>
      <c r="F899" s="257"/>
      <c r="G899" s="257"/>
      <c r="H899" s="257"/>
      <c r="I899" s="257"/>
      <c r="J899" s="257"/>
      <c r="K899" s="257"/>
    </row>
    <row r="900" spans="1:11" x14ac:dyDescent="0.25">
      <c r="A900" s="268"/>
      <c r="B900" s="268"/>
      <c r="C900" s="268"/>
      <c r="D900" s="257"/>
      <c r="E900" s="257"/>
      <c r="F900" s="257"/>
      <c r="G900" s="257"/>
      <c r="H900" s="257"/>
      <c r="I900" s="257"/>
      <c r="J900" s="257"/>
      <c r="K900" s="257"/>
    </row>
    <row r="901" spans="1:11" x14ac:dyDescent="0.25">
      <c r="A901" s="268"/>
      <c r="B901" s="268"/>
      <c r="C901" s="268"/>
      <c r="D901" s="257"/>
      <c r="E901" s="257"/>
      <c r="F901" s="257"/>
      <c r="G901" s="257"/>
      <c r="H901" s="257"/>
      <c r="I901" s="257"/>
      <c r="J901" s="257"/>
      <c r="K901" s="257"/>
    </row>
    <row r="902" spans="1:11" x14ac:dyDescent="0.25">
      <c r="A902" s="268"/>
      <c r="B902" s="268"/>
      <c r="C902" s="268"/>
      <c r="D902" s="257"/>
      <c r="E902" s="257"/>
      <c r="F902" s="257"/>
      <c r="G902" s="257"/>
      <c r="H902" s="257"/>
      <c r="I902" s="257"/>
      <c r="J902" s="257"/>
      <c r="K902" s="257"/>
    </row>
    <row r="903" spans="1:11" x14ac:dyDescent="0.25">
      <c r="A903" s="268"/>
      <c r="B903" s="268"/>
      <c r="C903" s="268"/>
      <c r="D903" s="257"/>
      <c r="E903" s="257"/>
      <c r="F903" s="257"/>
      <c r="G903" s="257"/>
      <c r="H903" s="257"/>
      <c r="I903" s="257"/>
      <c r="J903" s="257"/>
      <c r="K903" s="257"/>
    </row>
    <row r="904" spans="1:11" x14ac:dyDescent="0.25">
      <c r="A904" s="268"/>
      <c r="B904" s="268"/>
      <c r="C904" s="268"/>
      <c r="D904" s="257"/>
      <c r="E904" s="257"/>
      <c r="F904" s="257"/>
      <c r="G904" s="257"/>
      <c r="H904" s="257"/>
      <c r="I904" s="257"/>
      <c r="J904" s="257"/>
      <c r="K904" s="257"/>
    </row>
    <row r="905" spans="1:11" x14ac:dyDescent="0.25">
      <c r="A905" s="268"/>
      <c r="B905" s="268"/>
      <c r="C905" s="268"/>
      <c r="D905" s="257"/>
      <c r="E905" s="257"/>
      <c r="F905" s="257"/>
      <c r="G905" s="257"/>
      <c r="H905" s="257"/>
      <c r="I905" s="257"/>
      <c r="J905" s="257"/>
      <c r="K905" s="257"/>
    </row>
    <row r="906" spans="1:11" x14ac:dyDescent="0.25">
      <c r="A906" s="268"/>
      <c r="B906" s="268"/>
      <c r="C906" s="268"/>
      <c r="D906" s="257"/>
      <c r="E906" s="257"/>
      <c r="F906" s="257"/>
      <c r="G906" s="257"/>
      <c r="H906" s="257"/>
      <c r="I906" s="257"/>
      <c r="J906" s="257"/>
      <c r="K906" s="257"/>
    </row>
    <row r="907" spans="1:11" x14ac:dyDescent="0.25">
      <c r="A907" s="268"/>
      <c r="B907" s="268"/>
      <c r="C907" s="268"/>
      <c r="D907" s="257"/>
      <c r="E907" s="257"/>
      <c r="F907" s="257"/>
      <c r="G907" s="257"/>
      <c r="H907" s="257"/>
      <c r="I907" s="257"/>
      <c r="J907" s="257"/>
      <c r="K907" s="257"/>
    </row>
    <row r="908" spans="1:11" x14ac:dyDescent="0.25">
      <c r="A908" s="268"/>
      <c r="B908" s="268"/>
      <c r="C908" s="268"/>
      <c r="D908" s="257"/>
      <c r="E908" s="257"/>
      <c r="F908" s="257"/>
      <c r="G908" s="257"/>
      <c r="H908" s="257"/>
      <c r="I908" s="257"/>
      <c r="J908" s="257"/>
      <c r="K908" s="257"/>
    </row>
    <row r="909" spans="1:11" x14ac:dyDescent="0.25">
      <c r="A909" s="268"/>
      <c r="B909" s="268"/>
      <c r="C909" s="268"/>
      <c r="D909" s="257"/>
      <c r="E909" s="257"/>
      <c r="F909" s="257"/>
      <c r="G909" s="257"/>
      <c r="H909" s="257"/>
      <c r="I909" s="257"/>
      <c r="J909" s="257"/>
      <c r="K909" s="257"/>
    </row>
    <row r="910" spans="1:11" x14ac:dyDescent="0.25">
      <c r="A910" s="268"/>
      <c r="B910" s="268"/>
      <c r="C910" s="268"/>
      <c r="D910" s="257"/>
      <c r="E910" s="257"/>
      <c r="F910" s="257"/>
      <c r="G910" s="257"/>
      <c r="H910" s="257"/>
      <c r="I910" s="257"/>
      <c r="J910" s="257"/>
      <c r="K910" s="257"/>
    </row>
    <row r="911" spans="1:11" x14ac:dyDescent="0.25">
      <c r="A911" s="268"/>
      <c r="B911" s="268"/>
      <c r="C911" s="268"/>
      <c r="D911" s="257"/>
      <c r="E911" s="257"/>
      <c r="F911" s="257"/>
      <c r="G911" s="257"/>
      <c r="H911" s="257"/>
      <c r="I911" s="257"/>
      <c r="J911" s="257"/>
      <c r="K911" s="257"/>
    </row>
    <row r="912" spans="1:11" x14ac:dyDescent="0.25">
      <c r="A912" s="268"/>
      <c r="B912" s="268"/>
      <c r="C912" s="268"/>
      <c r="D912" s="257"/>
      <c r="E912" s="257"/>
      <c r="F912" s="257"/>
      <c r="G912" s="257"/>
      <c r="H912" s="257"/>
      <c r="I912" s="257"/>
      <c r="J912" s="257"/>
      <c r="K912" s="257"/>
    </row>
    <row r="913" spans="1:11" x14ac:dyDescent="0.25">
      <c r="A913" s="268"/>
      <c r="B913" s="268"/>
      <c r="C913" s="268"/>
      <c r="D913" s="257"/>
      <c r="E913" s="257"/>
      <c r="F913" s="257"/>
      <c r="G913" s="257"/>
      <c r="H913" s="257"/>
      <c r="I913" s="257"/>
      <c r="J913" s="257"/>
      <c r="K913" s="257"/>
    </row>
    <row r="914" spans="1:11" x14ac:dyDescent="0.25">
      <c r="A914" s="268"/>
      <c r="B914" s="268"/>
      <c r="C914" s="268"/>
      <c r="D914" s="257"/>
      <c r="E914" s="257"/>
      <c r="F914" s="257"/>
      <c r="G914" s="257"/>
      <c r="H914" s="257"/>
      <c r="I914" s="257"/>
      <c r="J914" s="257"/>
      <c r="K914" s="257"/>
    </row>
    <row r="915" spans="1:11" x14ac:dyDescent="0.25">
      <c r="A915" s="268"/>
      <c r="B915" s="268"/>
      <c r="C915" s="268"/>
      <c r="D915" s="257"/>
      <c r="E915" s="257"/>
      <c r="F915" s="257"/>
      <c r="G915" s="257"/>
      <c r="H915" s="257"/>
      <c r="I915" s="257"/>
      <c r="J915" s="257"/>
      <c r="K915" s="257"/>
    </row>
    <row r="916" spans="1:11" x14ac:dyDescent="0.25">
      <c r="A916" s="268"/>
      <c r="B916" s="268"/>
      <c r="C916" s="268"/>
      <c r="D916" s="257"/>
      <c r="E916" s="257"/>
      <c r="F916" s="257"/>
      <c r="G916" s="257"/>
      <c r="H916" s="257"/>
      <c r="I916" s="257"/>
      <c r="J916" s="257"/>
      <c r="K916" s="257"/>
    </row>
    <row r="917" spans="1:11" x14ac:dyDescent="0.25">
      <c r="A917" s="268"/>
      <c r="B917" s="268"/>
      <c r="C917" s="268"/>
      <c r="D917" s="257"/>
      <c r="E917" s="257"/>
      <c r="F917" s="257"/>
      <c r="G917" s="257"/>
      <c r="H917" s="257"/>
      <c r="I917" s="257"/>
      <c r="J917" s="257"/>
      <c r="K917" s="257"/>
    </row>
    <row r="918" spans="1:11" x14ac:dyDescent="0.25">
      <c r="A918" s="268"/>
      <c r="B918" s="268"/>
      <c r="C918" s="268"/>
      <c r="D918" s="257"/>
      <c r="E918" s="257"/>
      <c r="F918" s="257"/>
      <c r="G918" s="257"/>
      <c r="H918" s="257"/>
      <c r="I918" s="257"/>
      <c r="J918" s="257"/>
      <c r="K918" s="257"/>
    </row>
    <row r="919" spans="1:11" x14ac:dyDescent="0.25">
      <c r="A919" s="268"/>
      <c r="B919" s="268"/>
      <c r="C919" s="268"/>
      <c r="D919" s="257"/>
      <c r="E919" s="257"/>
      <c r="F919" s="257"/>
      <c r="G919" s="257"/>
      <c r="H919" s="257"/>
      <c r="I919" s="257"/>
      <c r="J919" s="257"/>
      <c r="K919" s="257"/>
    </row>
    <row r="920" spans="1:11" x14ac:dyDescent="0.25">
      <c r="A920" s="268"/>
      <c r="B920" s="268"/>
      <c r="C920" s="268"/>
      <c r="D920" s="257"/>
      <c r="E920" s="257"/>
      <c r="F920" s="257"/>
      <c r="G920" s="257"/>
      <c r="H920" s="257"/>
      <c r="I920" s="257"/>
      <c r="J920" s="257"/>
      <c r="K920" s="257"/>
    </row>
    <row r="921" spans="1:11" x14ac:dyDescent="0.25">
      <c r="A921" s="268"/>
      <c r="B921" s="268"/>
      <c r="C921" s="268"/>
      <c r="D921" s="257"/>
      <c r="E921" s="257"/>
      <c r="F921" s="257"/>
      <c r="G921" s="257"/>
      <c r="H921" s="257"/>
      <c r="I921" s="257"/>
      <c r="J921" s="257"/>
      <c r="K921" s="257"/>
    </row>
    <row r="922" spans="1:11" x14ac:dyDescent="0.25">
      <c r="A922" s="268"/>
      <c r="B922" s="268"/>
      <c r="C922" s="268"/>
      <c r="D922" s="257"/>
      <c r="E922" s="257"/>
      <c r="F922" s="257"/>
      <c r="G922" s="257"/>
      <c r="H922" s="257"/>
      <c r="I922" s="257"/>
      <c r="J922" s="257"/>
      <c r="K922" s="257"/>
    </row>
    <row r="923" spans="1:11" x14ac:dyDescent="0.25">
      <c r="A923" s="268"/>
      <c r="B923" s="268"/>
      <c r="C923" s="268"/>
      <c r="D923" s="257"/>
      <c r="E923" s="257"/>
      <c r="F923" s="257"/>
      <c r="G923" s="257"/>
      <c r="H923" s="257"/>
      <c r="I923" s="257"/>
      <c r="J923" s="257"/>
      <c r="K923" s="257"/>
    </row>
    <row r="924" spans="1:11" x14ac:dyDescent="0.25">
      <c r="A924" s="268"/>
      <c r="B924" s="268"/>
      <c r="C924" s="268"/>
      <c r="D924" s="257"/>
      <c r="E924" s="257"/>
      <c r="F924" s="257"/>
      <c r="G924" s="257"/>
      <c r="H924" s="257"/>
      <c r="I924" s="257"/>
      <c r="J924" s="257"/>
      <c r="K924" s="257"/>
    </row>
    <row r="925" spans="1:11" x14ac:dyDescent="0.25">
      <c r="A925" s="268"/>
      <c r="B925" s="268"/>
      <c r="C925" s="268"/>
      <c r="D925" s="257"/>
      <c r="E925" s="257"/>
      <c r="F925" s="257"/>
      <c r="G925" s="257"/>
      <c r="H925" s="257"/>
      <c r="I925" s="257"/>
      <c r="J925" s="257"/>
      <c r="K925" s="257"/>
    </row>
    <row r="926" spans="1:11" x14ac:dyDescent="0.25">
      <c r="A926" s="268"/>
      <c r="B926" s="268"/>
      <c r="C926" s="268"/>
      <c r="D926" s="257"/>
      <c r="E926" s="257"/>
      <c r="F926" s="257"/>
      <c r="G926" s="257"/>
      <c r="H926" s="257"/>
      <c r="I926" s="257"/>
      <c r="J926" s="257"/>
      <c r="K926" s="257"/>
    </row>
    <row r="927" spans="1:11" x14ac:dyDescent="0.25">
      <c r="A927" s="268"/>
      <c r="B927" s="268"/>
      <c r="C927" s="268"/>
      <c r="D927" s="257"/>
      <c r="E927" s="257"/>
      <c r="F927" s="257"/>
      <c r="G927" s="257"/>
      <c r="H927" s="257"/>
      <c r="I927" s="257"/>
      <c r="J927" s="257"/>
      <c r="K927" s="257"/>
    </row>
    <row r="928" spans="1:11" x14ac:dyDescent="0.25">
      <c r="A928" s="268"/>
      <c r="B928" s="268"/>
      <c r="C928" s="268"/>
      <c r="D928" s="257"/>
      <c r="E928" s="257"/>
      <c r="F928" s="257"/>
      <c r="G928" s="257"/>
      <c r="H928" s="257"/>
      <c r="I928" s="257"/>
      <c r="J928" s="257"/>
      <c r="K928" s="257"/>
    </row>
    <row r="929" spans="1:11" x14ac:dyDescent="0.25">
      <c r="A929" s="268"/>
      <c r="B929" s="268"/>
      <c r="C929" s="268"/>
      <c r="D929" s="257"/>
      <c r="E929" s="257"/>
      <c r="F929" s="257"/>
      <c r="G929" s="257"/>
      <c r="H929" s="257"/>
      <c r="I929" s="257"/>
      <c r="J929" s="257"/>
      <c r="K929" s="257"/>
    </row>
    <row r="930" spans="1:11" x14ac:dyDescent="0.25">
      <c r="A930" s="268"/>
      <c r="B930" s="268"/>
      <c r="C930" s="268"/>
      <c r="D930" s="257"/>
      <c r="E930" s="257"/>
      <c r="F930" s="257"/>
      <c r="G930" s="257"/>
      <c r="H930" s="257"/>
      <c r="I930" s="257"/>
      <c r="J930" s="257"/>
      <c r="K930" s="257"/>
    </row>
    <row r="931" spans="1:11" x14ac:dyDescent="0.25">
      <c r="A931" s="268"/>
      <c r="B931" s="268"/>
      <c r="C931" s="268"/>
      <c r="D931" s="257"/>
      <c r="E931" s="257"/>
      <c r="F931" s="257"/>
      <c r="G931" s="257"/>
      <c r="H931" s="257"/>
      <c r="I931" s="257"/>
      <c r="J931" s="257"/>
      <c r="K931" s="257"/>
    </row>
    <row r="932" spans="1:11" x14ac:dyDescent="0.25">
      <c r="A932" s="268"/>
      <c r="B932" s="268"/>
      <c r="C932" s="268"/>
      <c r="D932" s="257"/>
      <c r="E932" s="257"/>
      <c r="F932" s="257"/>
      <c r="G932" s="257"/>
      <c r="H932" s="257"/>
      <c r="I932" s="257"/>
      <c r="J932" s="257"/>
      <c r="K932" s="257"/>
    </row>
    <row r="933" spans="1:11" x14ac:dyDescent="0.25">
      <c r="A933" s="268"/>
      <c r="B933" s="268"/>
      <c r="C933" s="268"/>
      <c r="D933" s="257"/>
      <c r="E933" s="257"/>
      <c r="F933" s="257"/>
      <c r="G933" s="257"/>
      <c r="H933" s="257"/>
      <c r="I933" s="257"/>
      <c r="J933" s="257"/>
      <c r="K933" s="257"/>
    </row>
    <row r="934" spans="1:11" x14ac:dyDescent="0.25">
      <c r="A934" s="268"/>
      <c r="B934" s="268"/>
      <c r="C934" s="268"/>
      <c r="D934" s="257"/>
      <c r="E934" s="257"/>
      <c r="F934" s="257"/>
      <c r="G934" s="257"/>
      <c r="H934" s="257"/>
      <c r="I934" s="257"/>
      <c r="J934" s="257"/>
      <c r="K934" s="257"/>
    </row>
    <row r="935" spans="1:11" x14ac:dyDescent="0.25">
      <c r="A935" s="268"/>
      <c r="B935" s="268"/>
      <c r="C935" s="268"/>
      <c r="D935" s="257"/>
      <c r="E935" s="257"/>
      <c r="F935" s="257"/>
      <c r="G935" s="257"/>
      <c r="H935" s="257"/>
      <c r="I935" s="257"/>
      <c r="J935" s="257"/>
      <c r="K935" s="257"/>
    </row>
    <row r="936" spans="1:11" x14ac:dyDescent="0.25">
      <c r="A936" s="268"/>
      <c r="B936" s="268"/>
      <c r="C936" s="268"/>
      <c r="D936" s="257"/>
      <c r="E936" s="257"/>
      <c r="F936" s="257"/>
      <c r="G936" s="257"/>
      <c r="H936" s="257"/>
      <c r="I936" s="257"/>
      <c r="J936" s="257"/>
      <c r="K936" s="257"/>
    </row>
    <row r="937" spans="1:11" x14ac:dyDescent="0.25">
      <c r="A937" s="268"/>
      <c r="B937" s="268"/>
      <c r="C937" s="268"/>
      <c r="D937" s="257"/>
      <c r="E937" s="257"/>
      <c r="F937" s="257"/>
      <c r="G937" s="257"/>
      <c r="H937" s="257"/>
      <c r="I937" s="257"/>
      <c r="J937" s="257"/>
      <c r="K937" s="257"/>
    </row>
    <row r="938" spans="1:11" x14ac:dyDescent="0.25">
      <c r="A938" s="268"/>
      <c r="B938" s="268"/>
      <c r="C938" s="268"/>
      <c r="D938" s="257"/>
      <c r="E938" s="257"/>
      <c r="F938" s="257"/>
      <c r="G938" s="257"/>
      <c r="H938" s="257"/>
      <c r="I938" s="257"/>
      <c r="J938" s="257"/>
      <c r="K938" s="257"/>
    </row>
    <row r="939" spans="1:11" x14ac:dyDescent="0.25">
      <c r="A939" s="268"/>
      <c r="B939" s="268"/>
      <c r="C939" s="268"/>
      <c r="D939" s="257"/>
      <c r="E939" s="257"/>
      <c r="F939" s="257"/>
      <c r="G939" s="257"/>
      <c r="H939" s="257"/>
      <c r="I939" s="257"/>
      <c r="J939" s="257"/>
      <c r="K939" s="257"/>
    </row>
    <row r="940" spans="1:11" x14ac:dyDescent="0.25">
      <c r="A940" s="268"/>
      <c r="B940" s="268"/>
      <c r="C940" s="268"/>
      <c r="D940" s="257"/>
      <c r="E940" s="257"/>
      <c r="F940" s="257"/>
      <c r="G940" s="257"/>
      <c r="H940" s="257"/>
      <c r="I940" s="257"/>
      <c r="J940" s="257"/>
      <c r="K940" s="257"/>
    </row>
    <row r="941" spans="1:11" x14ac:dyDescent="0.25">
      <c r="A941" s="268"/>
      <c r="B941" s="268"/>
      <c r="C941" s="268"/>
      <c r="D941" s="257"/>
      <c r="E941" s="257"/>
      <c r="F941" s="257"/>
      <c r="G941" s="257"/>
      <c r="H941" s="257"/>
      <c r="I941" s="257"/>
      <c r="J941" s="257"/>
      <c r="K941" s="257"/>
    </row>
    <row r="942" spans="1:11" x14ac:dyDescent="0.25">
      <c r="A942" s="268"/>
      <c r="B942" s="268"/>
      <c r="C942" s="268"/>
      <c r="D942" s="257"/>
      <c r="E942" s="257"/>
      <c r="F942" s="257"/>
      <c r="G942" s="257"/>
      <c r="H942" s="257"/>
      <c r="I942" s="257"/>
      <c r="J942" s="257"/>
      <c r="K942" s="257"/>
    </row>
    <row r="943" spans="1:11" x14ac:dyDescent="0.25">
      <c r="A943" s="268"/>
      <c r="B943" s="268"/>
      <c r="C943" s="268"/>
      <c r="D943" s="257"/>
      <c r="E943" s="257"/>
      <c r="F943" s="257"/>
      <c r="G943" s="257"/>
      <c r="H943" s="257"/>
      <c r="I943" s="257"/>
      <c r="J943" s="257"/>
      <c r="K943" s="257"/>
    </row>
    <row r="944" spans="1:11" x14ac:dyDescent="0.25">
      <c r="A944" s="268"/>
      <c r="B944" s="268"/>
      <c r="C944" s="268"/>
      <c r="D944" s="257"/>
      <c r="E944" s="257"/>
      <c r="F944" s="257"/>
      <c r="G944" s="257"/>
      <c r="H944" s="257"/>
      <c r="I944" s="257"/>
      <c r="J944" s="257"/>
      <c r="K944" s="257"/>
    </row>
    <row r="945" spans="1:11" x14ac:dyDescent="0.25">
      <c r="A945" s="268"/>
      <c r="B945" s="268"/>
      <c r="C945" s="268"/>
      <c r="D945" s="257"/>
      <c r="E945" s="257"/>
      <c r="F945" s="257"/>
      <c r="G945" s="257"/>
      <c r="H945" s="257"/>
      <c r="I945" s="257"/>
      <c r="J945" s="257"/>
      <c r="K945" s="257"/>
    </row>
    <row r="946" spans="1:11" x14ac:dyDescent="0.25">
      <c r="A946" s="268"/>
      <c r="B946" s="268"/>
      <c r="C946" s="268"/>
      <c r="D946" s="257"/>
      <c r="E946" s="257"/>
      <c r="F946" s="257"/>
      <c r="G946" s="257"/>
      <c r="H946" s="257"/>
      <c r="I946" s="257"/>
      <c r="J946" s="257"/>
      <c r="K946" s="257"/>
    </row>
    <row r="947" spans="1:11" x14ac:dyDescent="0.25">
      <c r="A947" s="268"/>
      <c r="B947" s="268"/>
      <c r="C947" s="268"/>
      <c r="D947" s="257"/>
      <c r="E947" s="257"/>
      <c r="F947" s="257"/>
      <c r="G947" s="257"/>
      <c r="H947" s="257"/>
      <c r="I947" s="257"/>
      <c r="J947" s="257"/>
      <c r="K947" s="257"/>
    </row>
    <row r="948" spans="1:11" x14ac:dyDescent="0.25">
      <c r="A948" s="268"/>
      <c r="B948" s="268"/>
      <c r="C948" s="268"/>
      <c r="D948" s="257"/>
      <c r="E948" s="257"/>
      <c r="F948" s="257"/>
      <c r="G948" s="257"/>
      <c r="H948" s="257"/>
      <c r="I948" s="257"/>
      <c r="J948" s="257"/>
      <c r="K948" s="257"/>
    </row>
    <row r="949" spans="1:11" x14ac:dyDescent="0.25">
      <c r="A949" s="268"/>
      <c r="B949" s="268"/>
      <c r="C949" s="268"/>
      <c r="D949" s="257"/>
      <c r="E949" s="257"/>
      <c r="F949" s="257"/>
      <c r="G949" s="257"/>
      <c r="H949" s="257"/>
      <c r="I949" s="257"/>
      <c r="J949" s="257"/>
      <c r="K949" s="257"/>
    </row>
    <row r="950" spans="1:11" x14ac:dyDescent="0.25">
      <c r="A950" s="268"/>
      <c r="B950" s="268"/>
      <c r="C950" s="268"/>
      <c r="D950" s="257"/>
      <c r="E950" s="257"/>
      <c r="F950" s="257"/>
      <c r="G950" s="257"/>
      <c r="H950" s="257"/>
      <c r="I950" s="257"/>
      <c r="J950" s="257"/>
      <c r="K950" s="257"/>
    </row>
    <row r="951" spans="1:11" x14ac:dyDescent="0.25">
      <c r="A951" s="268"/>
      <c r="B951" s="268"/>
      <c r="C951" s="268"/>
      <c r="D951" s="257"/>
      <c r="E951" s="257"/>
      <c r="F951" s="257"/>
      <c r="G951" s="257"/>
      <c r="H951" s="257"/>
      <c r="I951" s="257"/>
      <c r="J951" s="257"/>
      <c r="K951" s="257"/>
    </row>
    <row r="952" spans="1:11" x14ac:dyDescent="0.25">
      <c r="A952" s="268"/>
      <c r="B952" s="268"/>
      <c r="C952" s="268"/>
      <c r="D952" s="257"/>
      <c r="E952" s="257"/>
      <c r="F952" s="257"/>
      <c r="G952" s="257"/>
      <c r="H952" s="257"/>
      <c r="I952" s="257"/>
      <c r="J952" s="257"/>
      <c r="K952" s="257"/>
    </row>
    <row r="953" spans="1:11" x14ac:dyDescent="0.25">
      <c r="A953" s="268"/>
      <c r="B953" s="268"/>
      <c r="C953" s="268"/>
      <c r="D953" s="257"/>
      <c r="E953" s="257"/>
      <c r="F953" s="257"/>
      <c r="G953" s="257"/>
      <c r="H953" s="257"/>
      <c r="I953" s="257"/>
      <c r="J953" s="257"/>
      <c r="K953" s="257"/>
    </row>
    <row r="954" spans="1:11" x14ac:dyDescent="0.25">
      <c r="A954" s="268"/>
      <c r="B954" s="268"/>
      <c r="C954" s="268"/>
      <c r="D954" s="257"/>
      <c r="E954" s="257"/>
      <c r="F954" s="257"/>
      <c r="G954" s="257"/>
      <c r="H954" s="257"/>
      <c r="I954" s="257"/>
      <c r="J954" s="257"/>
      <c r="K954" s="257"/>
    </row>
    <row r="955" spans="1:11" x14ac:dyDescent="0.25">
      <c r="A955" s="268"/>
      <c r="B955" s="268"/>
      <c r="C955" s="268"/>
      <c r="D955" s="257"/>
      <c r="E955" s="257"/>
      <c r="F955" s="257"/>
      <c r="G955" s="257"/>
      <c r="H955" s="257"/>
      <c r="I955" s="257"/>
      <c r="J955" s="257"/>
      <c r="K955" s="257"/>
    </row>
    <row r="956" spans="1:11" x14ac:dyDescent="0.25">
      <c r="A956" s="268"/>
      <c r="B956" s="268"/>
      <c r="C956" s="268"/>
      <c r="D956" s="257"/>
      <c r="E956" s="257"/>
      <c r="F956" s="257"/>
      <c r="G956" s="257"/>
      <c r="H956" s="257"/>
      <c r="I956" s="257"/>
      <c r="J956" s="257"/>
      <c r="K956" s="257"/>
    </row>
    <row r="957" spans="1:11" x14ac:dyDescent="0.25">
      <c r="A957" s="268"/>
      <c r="B957" s="268"/>
      <c r="C957" s="268"/>
      <c r="D957" s="257"/>
      <c r="E957" s="257"/>
      <c r="F957" s="257"/>
      <c r="G957" s="257"/>
      <c r="H957" s="257"/>
      <c r="I957" s="257"/>
      <c r="J957" s="257"/>
      <c r="K957" s="257"/>
    </row>
    <row r="958" spans="1:11" x14ac:dyDescent="0.25">
      <c r="A958" s="268"/>
      <c r="B958" s="268"/>
      <c r="C958" s="268"/>
      <c r="D958" s="257"/>
      <c r="E958" s="257"/>
      <c r="F958" s="257"/>
      <c r="G958" s="257"/>
      <c r="H958" s="257"/>
      <c r="I958" s="257"/>
      <c r="J958" s="257"/>
      <c r="K958" s="257"/>
    </row>
    <row r="959" spans="1:11" x14ac:dyDescent="0.25">
      <c r="A959" s="268"/>
      <c r="B959" s="268"/>
      <c r="C959" s="268"/>
      <c r="D959" s="257"/>
      <c r="E959" s="257"/>
      <c r="F959" s="257"/>
      <c r="G959" s="257"/>
      <c r="H959" s="257"/>
      <c r="I959" s="257"/>
      <c r="J959" s="257"/>
      <c r="K959" s="257"/>
    </row>
    <row r="960" spans="1:11" x14ac:dyDescent="0.25">
      <c r="A960" s="268"/>
      <c r="B960" s="268"/>
      <c r="C960" s="268"/>
      <c r="D960" s="257"/>
      <c r="E960" s="257"/>
      <c r="F960" s="257"/>
      <c r="G960" s="257"/>
      <c r="H960" s="257"/>
      <c r="I960" s="257"/>
      <c r="J960" s="257"/>
      <c r="K960" s="257"/>
    </row>
    <row r="961" spans="1:11" x14ac:dyDescent="0.25">
      <c r="A961" s="268"/>
      <c r="B961" s="268"/>
      <c r="C961" s="268"/>
      <c r="D961" s="257"/>
      <c r="E961" s="257"/>
      <c r="F961" s="257"/>
      <c r="G961" s="257"/>
      <c r="H961" s="257"/>
      <c r="I961" s="257"/>
      <c r="J961" s="257"/>
      <c r="K961" s="257"/>
    </row>
    <row r="962" spans="1:11" x14ac:dyDescent="0.25">
      <c r="A962" s="268"/>
      <c r="B962" s="268"/>
      <c r="C962" s="268"/>
      <c r="D962" s="257"/>
      <c r="E962" s="257"/>
      <c r="F962" s="257"/>
      <c r="G962" s="257"/>
      <c r="H962" s="257"/>
      <c r="I962" s="257"/>
      <c r="J962" s="257"/>
      <c r="K962" s="257"/>
    </row>
    <row r="963" spans="1:11" x14ac:dyDescent="0.25">
      <c r="A963" s="268"/>
      <c r="B963" s="268"/>
      <c r="C963" s="268"/>
      <c r="D963" s="257"/>
      <c r="E963" s="257"/>
      <c r="F963" s="257"/>
      <c r="G963" s="257"/>
      <c r="H963" s="257"/>
      <c r="I963" s="257"/>
      <c r="J963" s="257"/>
      <c r="K963" s="257"/>
    </row>
    <row r="964" spans="1:11" x14ac:dyDescent="0.25">
      <c r="A964" s="268"/>
      <c r="B964" s="268"/>
      <c r="C964" s="268"/>
      <c r="D964" s="257"/>
      <c r="E964" s="257"/>
      <c r="F964" s="257"/>
      <c r="G964" s="257"/>
      <c r="H964" s="257"/>
      <c r="I964" s="257"/>
      <c r="J964" s="257"/>
      <c r="K964" s="257"/>
    </row>
    <row r="965" spans="1:11" x14ac:dyDescent="0.25">
      <c r="A965" s="268"/>
      <c r="B965" s="268"/>
      <c r="C965" s="268"/>
      <c r="D965" s="257"/>
      <c r="E965" s="257"/>
      <c r="F965" s="257"/>
      <c r="G965" s="257"/>
      <c r="H965" s="257"/>
      <c r="I965" s="257"/>
      <c r="J965" s="257"/>
      <c r="K965" s="257"/>
    </row>
    <row r="966" spans="1:11" x14ac:dyDescent="0.25">
      <c r="A966" s="268"/>
      <c r="B966" s="268"/>
      <c r="C966" s="268"/>
      <c r="D966" s="257"/>
      <c r="E966" s="257"/>
      <c r="F966" s="257"/>
      <c r="G966" s="257"/>
      <c r="H966" s="257"/>
      <c r="I966" s="257"/>
      <c r="J966" s="257"/>
      <c r="K966" s="257"/>
    </row>
    <row r="967" spans="1:11" x14ac:dyDescent="0.25">
      <c r="A967" s="268"/>
      <c r="B967" s="268"/>
      <c r="C967" s="268"/>
      <c r="D967" s="257"/>
      <c r="E967" s="257"/>
      <c r="F967" s="257"/>
      <c r="G967" s="257"/>
      <c r="H967" s="257"/>
      <c r="I967" s="257"/>
      <c r="J967" s="257"/>
      <c r="K967" s="257"/>
    </row>
    <row r="968" spans="1:11" x14ac:dyDescent="0.25">
      <c r="A968" s="268"/>
      <c r="B968" s="268"/>
      <c r="C968" s="268"/>
      <c r="D968" s="257"/>
      <c r="E968" s="257"/>
      <c r="F968" s="257"/>
      <c r="G968" s="257"/>
      <c r="H968" s="257"/>
      <c r="I968" s="257"/>
      <c r="J968" s="257"/>
      <c r="K968" s="257"/>
    </row>
    <row r="969" spans="1:11" x14ac:dyDescent="0.25">
      <c r="A969" s="268"/>
      <c r="B969" s="268"/>
      <c r="C969" s="268"/>
      <c r="D969" s="257"/>
      <c r="E969" s="257"/>
      <c r="F969" s="257"/>
      <c r="G969" s="257"/>
      <c r="H969" s="257"/>
      <c r="I969" s="257"/>
      <c r="J969" s="257"/>
      <c r="K969" s="257"/>
    </row>
    <row r="970" spans="1:11" x14ac:dyDescent="0.25">
      <c r="A970" s="268"/>
      <c r="B970" s="268"/>
      <c r="C970" s="268"/>
      <c r="D970" s="257"/>
      <c r="E970" s="257"/>
      <c r="F970" s="257"/>
      <c r="G970" s="257"/>
      <c r="H970" s="257"/>
      <c r="I970" s="257"/>
      <c r="J970" s="257"/>
      <c r="K970" s="257"/>
    </row>
    <row r="971" spans="1:11" x14ac:dyDescent="0.25">
      <c r="A971" s="268"/>
      <c r="B971" s="268"/>
      <c r="C971" s="268"/>
      <c r="D971" s="257"/>
      <c r="E971" s="257"/>
      <c r="F971" s="257"/>
      <c r="G971" s="257"/>
      <c r="H971" s="257"/>
      <c r="I971" s="257"/>
      <c r="J971" s="257"/>
      <c r="K971" s="257"/>
    </row>
    <row r="972" spans="1:11" x14ac:dyDescent="0.25">
      <c r="A972" s="268"/>
      <c r="B972" s="268"/>
      <c r="C972" s="268"/>
      <c r="D972" s="257"/>
      <c r="E972" s="257"/>
      <c r="F972" s="257"/>
      <c r="G972" s="257"/>
      <c r="H972" s="257"/>
      <c r="I972" s="257"/>
      <c r="J972" s="257"/>
      <c r="K972" s="257"/>
    </row>
    <row r="973" spans="1:11" x14ac:dyDescent="0.25">
      <c r="A973" s="268"/>
      <c r="B973" s="268"/>
      <c r="C973" s="268"/>
      <c r="D973" s="257"/>
      <c r="E973" s="257"/>
      <c r="F973" s="257"/>
      <c r="G973" s="257"/>
      <c r="H973" s="257"/>
      <c r="I973" s="257"/>
      <c r="J973" s="257"/>
      <c r="K973" s="257"/>
    </row>
    <row r="974" spans="1:11" x14ac:dyDescent="0.25">
      <c r="A974" s="268"/>
      <c r="B974" s="268"/>
      <c r="C974" s="268"/>
      <c r="D974" s="257"/>
      <c r="E974" s="257"/>
      <c r="F974" s="257"/>
      <c r="G974" s="257"/>
      <c r="H974" s="257"/>
      <c r="I974" s="257"/>
      <c r="J974" s="257"/>
      <c r="K974" s="257"/>
    </row>
    <row r="975" spans="1:11" x14ac:dyDescent="0.25">
      <c r="A975" s="268"/>
      <c r="B975" s="268"/>
      <c r="C975" s="268"/>
      <c r="D975" s="257"/>
      <c r="E975" s="257"/>
      <c r="F975" s="257"/>
      <c r="G975" s="257"/>
      <c r="H975" s="257"/>
      <c r="I975" s="257"/>
      <c r="J975" s="257"/>
      <c r="K975" s="257"/>
    </row>
    <row r="976" spans="1:11" x14ac:dyDescent="0.25">
      <c r="A976" s="268"/>
      <c r="B976" s="268"/>
      <c r="C976" s="268"/>
      <c r="D976" s="257"/>
      <c r="E976" s="257"/>
      <c r="F976" s="257"/>
      <c r="G976" s="257"/>
      <c r="H976" s="257"/>
      <c r="I976" s="257"/>
      <c r="J976" s="257"/>
      <c r="K976" s="257"/>
    </row>
    <row r="977" spans="1:11" x14ac:dyDescent="0.25">
      <c r="A977" s="268"/>
      <c r="B977" s="268"/>
      <c r="C977" s="268"/>
      <c r="D977" s="257"/>
      <c r="E977" s="257"/>
      <c r="F977" s="257"/>
      <c r="G977" s="257"/>
      <c r="H977" s="257"/>
      <c r="I977" s="257"/>
      <c r="J977" s="257"/>
      <c r="K977" s="257"/>
    </row>
    <row r="978" spans="1:11" x14ac:dyDescent="0.25">
      <c r="A978" s="268"/>
      <c r="B978" s="268"/>
      <c r="C978" s="268"/>
      <c r="D978" s="257"/>
      <c r="E978" s="257"/>
      <c r="F978" s="257"/>
      <c r="G978" s="257"/>
      <c r="H978" s="257"/>
      <c r="I978" s="257"/>
      <c r="J978" s="257"/>
      <c r="K978" s="257"/>
    </row>
    <row r="979" spans="1:11" x14ac:dyDescent="0.25">
      <c r="A979" s="268"/>
      <c r="B979" s="268"/>
      <c r="C979" s="268"/>
      <c r="D979" s="257"/>
      <c r="E979" s="257"/>
      <c r="F979" s="257"/>
      <c r="G979" s="257"/>
      <c r="H979" s="257"/>
      <c r="I979" s="257"/>
      <c r="J979" s="257"/>
      <c r="K979" s="257"/>
    </row>
    <row r="980" spans="1:11" x14ac:dyDescent="0.25">
      <c r="A980" s="268"/>
      <c r="B980" s="268"/>
      <c r="C980" s="268"/>
      <c r="D980" s="257"/>
      <c r="E980" s="257"/>
      <c r="F980" s="257"/>
      <c r="G980" s="257"/>
      <c r="H980" s="257"/>
      <c r="I980" s="257"/>
      <c r="J980" s="257"/>
      <c r="K980" s="257"/>
    </row>
    <row r="981" spans="1:11" x14ac:dyDescent="0.25">
      <c r="A981" s="268"/>
      <c r="B981" s="268"/>
      <c r="C981" s="268"/>
      <c r="D981" s="257"/>
      <c r="E981" s="257"/>
      <c r="F981" s="257"/>
      <c r="G981" s="257"/>
      <c r="H981" s="257"/>
      <c r="I981" s="257"/>
      <c r="J981" s="257"/>
      <c r="K981" s="257"/>
    </row>
    <row r="982" spans="1:11" x14ac:dyDescent="0.25">
      <c r="A982" s="268"/>
      <c r="B982" s="268"/>
      <c r="C982" s="268"/>
      <c r="D982" s="257"/>
      <c r="E982" s="257"/>
      <c r="F982" s="257"/>
      <c r="G982" s="257"/>
      <c r="H982" s="257"/>
      <c r="I982" s="257"/>
      <c r="J982" s="257"/>
      <c r="K982" s="257"/>
    </row>
    <row r="983" spans="1:11" x14ac:dyDescent="0.25">
      <c r="A983" s="268"/>
      <c r="B983" s="268"/>
      <c r="C983" s="268"/>
      <c r="D983" s="257"/>
      <c r="E983" s="257"/>
      <c r="F983" s="257"/>
      <c r="G983" s="257"/>
      <c r="H983" s="257"/>
      <c r="I983" s="257"/>
      <c r="J983" s="257"/>
      <c r="K983" s="257"/>
    </row>
    <row r="984" spans="1:11" x14ac:dyDescent="0.25">
      <c r="A984" s="268"/>
      <c r="B984" s="268"/>
      <c r="C984" s="268"/>
      <c r="D984" s="257"/>
      <c r="E984" s="257"/>
      <c r="F984" s="257"/>
      <c r="G984" s="257"/>
      <c r="H984" s="257"/>
      <c r="I984" s="257"/>
      <c r="J984" s="257"/>
      <c r="K984" s="257"/>
    </row>
    <row r="985" spans="1:11" x14ac:dyDescent="0.25">
      <c r="A985" s="268"/>
      <c r="B985" s="268"/>
      <c r="C985" s="268"/>
      <c r="D985" s="257"/>
      <c r="E985" s="257"/>
      <c r="F985" s="257"/>
      <c r="G985" s="257"/>
      <c r="H985" s="257"/>
      <c r="I985" s="257"/>
      <c r="J985" s="257"/>
      <c r="K985" s="257"/>
    </row>
    <row r="986" spans="1:11" x14ac:dyDescent="0.25">
      <c r="A986" s="268"/>
      <c r="B986" s="268"/>
      <c r="C986" s="268"/>
      <c r="D986" s="257"/>
      <c r="E986" s="257"/>
      <c r="F986" s="257"/>
      <c r="G986" s="257"/>
      <c r="H986" s="257"/>
      <c r="I986" s="257"/>
      <c r="J986" s="257"/>
      <c r="K986" s="257"/>
    </row>
    <row r="987" spans="1:11" x14ac:dyDescent="0.25">
      <c r="A987" s="268"/>
      <c r="B987" s="268"/>
      <c r="C987" s="268"/>
      <c r="D987" s="257"/>
      <c r="E987" s="257"/>
      <c r="F987" s="257"/>
      <c r="G987" s="257"/>
      <c r="H987" s="257"/>
      <c r="I987" s="257"/>
      <c r="J987" s="257"/>
      <c r="K987" s="257"/>
    </row>
    <row r="988" spans="1:11" x14ac:dyDescent="0.25">
      <c r="A988" s="268"/>
      <c r="B988" s="268"/>
      <c r="C988" s="268"/>
      <c r="D988" s="257"/>
      <c r="E988" s="257"/>
      <c r="F988" s="257"/>
      <c r="G988" s="257"/>
      <c r="H988" s="257"/>
      <c r="I988" s="257"/>
      <c r="J988" s="257"/>
      <c r="K988" s="257"/>
    </row>
    <row r="989" spans="1:11" x14ac:dyDescent="0.25">
      <c r="A989" s="268"/>
      <c r="B989" s="268"/>
      <c r="C989" s="268"/>
      <c r="D989" s="257"/>
      <c r="E989" s="257"/>
      <c r="F989" s="257"/>
      <c r="G989" s="257"/>
      <c r="H989" s="257"/>
      <c r="I989" s="257"/>
      <c r="J989" s="257"/>
      <c r="K989" s="257"/>
    </row>
    <row r="990" spans="1:11" x14ac:dyDescent="0.25">
      <c r="A990" s="268"/>
      <c r="B990" s="268"/>
      <c r="C990" s="268"/>
      <c r="D990" s="257"/>
      <c r="E990" s="257"/>
      <c r="F990" s="257"/>
      <c r="G990" s="257"/>
      <c r="H990" s="257"/>
      <c r="I990" s="257"/>
      <c r="J990" s="257"/>
      <c r="K990" s="257"/>
    </row>
    <row r="991" spans="1:11" x14ac:dyDescent="0.25">
      <c r="A991" s="268"/>
      <c r="B991" s="268"/>
      <c r="C991" s="268"/>
      <c r="D991" s="257"/>
      <c r="E991" s="257"/>
      <c r="F991" s="257"/>
      <c r="G991" s="257"/>
      <c r="H991" s="257"/>
      <c r="I991" s="257"/>
      <c r="J991" s="257"/>
      <c r="K991" s="257"/>
    </row>
    <row r="992" spans="1:11" x14ac:dyDescent="0.25">
      <c r="A992" s="268"/>
      <c r="B992" s="268"/>
      <c r="C992" s="268"/>
      <c r="D992" s="257"/>
      <c r="E992" s="257"/>
      <c r="F992" s="257"/>
      <c r="G992" s="257"/>
      <c r="H992" s="257"/>
      <c r="I992" s="257"/>
      <c r="J992" s="257"/>
      <c r="K992" s="257"/>
    </row>
    <row r="993" spans="1:11" x14ac:dyDescent="0.25">
      <c r="A993" s="268"/>
      <c r="B993" s="268"/>
      <c r="C993" s="268"/>
      <c r="D993" s="257"/>
      <c r="E993" s="257"/>
      <c r="F993" s="257"/>
      <c r="G993" s="257"/>
      <c r="H993" s="257"/>
      <c r="I993" s="257"/>
      <c r="J993" s="257"/>
      <c r="K993" s="257"/>
    </row>
    <row r="994" spans="1:11" x14ac:dyDescent="0.25">
      <c r="A994" s="268"/>
      <c r="B994" s="268"/>
      <c r="C994" s="268"/>
      <c r="D994" s="257"/>
      <c r="E994" s="257"/>
      <c r="F994" s="257"/>
      <c r="G994" s="257"/>
      <c r="H994" s="257"/>
      <c r="I994" s="257"/>
      <c r="J994" s="257"/>
      <c r="K994" s="257"/>
    </row>
    <row r="995" spans="1:11" x14ac:dyDescent="0.25">
      <c r="A995" s="268"/>
      <c r="B995" s="268"/>
      <c r="C995" s="268"/>
      <c r="D995" s="257"/>
      <c r="E995" s="257"/>
      <c r="F995" s="257"/>
      <c r="G995" s="257"/>
      <c r="H995" s="257"/>
      <c r="I995" s="257"/>
      <c r="J995" s="257"/>
      <c r="K995" s="257"/>
    </row>
    <row r="996" spans="1:11" x14ac:dyDescent="0.25">
      <c r="A996" s="268"/>
      <c r="B996" s="268"/>
      <c r="C996" s="268"/>
      <c r="D996" s="257"/>
      <c r="E996" s="257"/>
      <c r="F996" s="257"/>
      <c r="G996" s="257"/>
      <c r="H996" s="257"/>
      <c r="I996" s="257"/>
      <c r="J996" s="257"/>
      <c r="K996" s="257"/>
    </row>
    <row r="997" spans="1:11" x14ac:dyDescent="0.25">
      <c r="A997" s="268"/>
      <c r="B997" s="268"/>
      <c r="C997" s="268"/>
      <c r="D997" s="257"/>
      <c r="E997" s="257"/>
      <c r="F997" s="257"/>
      <c r="G997" s="257"/>
      <c r="H997" s="257"/>
      <c r="I997" s="257"/>
      <c r="J997" s="257"/>
      <c r="K997" s="257"/>
    </row>
    <row r="998" spans="1:11" x14ac:dyDescent="0.25">
      <c r="A998" s="268"/>
      <c r="B998" s="268"/>
      <c r="C998" s="268"/>
      <c r="D998" s="257"/>
      <c r="E998" s="257"/>
      <c r="F998" s="257"/>
      <c r="G998" s="257"/>
      <c r="H998" s="257"/>
      <c r="I998" s="257"/>
      <c r="J998" s="257"/>
      <c r="K998" s="257"/>
    </row>
    <row r="999" spans="1:11" x14ac:dyDescent="0.25">
      <c r="A999" s="268"/>
      <c r="B999" s="268"/>
      <c r="C999" s="268"/>
      <c r="D999" s="257"/>
      <c r="E999" s="257"/>
      <c r="F999" s="257"/>
      <c r="G999" s="257"/>
      <c r="H999" s="257"/>
      <c r="I999" s="257"/>
      <c r="J999" s="257"/>
      <c r="K999" s="257"/>
    </row>
    <row r="1000" spans="1:11" x14ac:dyDescent="0.25">
      <c r="A1000" s="268"/>
      <c r="B1000" s="268"/>
      <c r="C1000" s="268"/>
      <c r="D1000" s="257"/>
      <c r="E1000" s="257"/>
      <c r="F1000" s="257"/>
      <c r="G1000" s="257"/>
      <c r="H1000" s="257"/>
      <c r="I1000" s="257"/>
      <c r="J1000" s="257"/>
      <c r="K1000" s="257"/>
    </row>
  </sheetData>
  <sheetProtection sheet="1" formatCells="0" formatColumns="0" formatRows="0" insertColumns="0" insertRows="0" insertHyperlinks="0" deleteColumns="0" deleteRows="0" sort="0" autoFilter="0" pivotTables="0"/>
  <autoFilter ref="A17:C17"/>
  <conditionalFormatting sqref="A18:C45">
    <cfRule type="expression" dxfId="57" priority="1">
      <formula>MOD(ROW(),2)=1</formula>
    </cfRule>
    <cfRule type="expression" dxfId="56" priority="2">
      <formula>MOD(ROW(),2)=0</formula>
    </cfRule>
  </conditionalFormatting>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8" tint="0.39997558519241921"/>
  </sheetPr>
  <dimension ref="A1:K55"/>
  <sheetViews>
    <sheetView topLeftCell="A15" zoomScaleNormal="100" workbookViewId="0">
      <pane ySplit="3" topLeftCell="A18" activePane="bottomLeft" state="frozen"/>
      <selection activeCell="D20" sqref="D20"/>
      <selection pane="bottomLeft" activeCell="A15" sqref="A15"/>
    </sheetView>
  </sheetViews>
  <sheetFormatPr baseColWidth="10" defaultRowHeight="15" outlineLevelRow="1" x14ac:dyDescent="0.25"/>
  <cols>
    <col min="1" max="1" width="10" customWidth="1"/>
    <col min="2" max="2" width="53.5703125" customWidth="1"/>
    <col min="3" max="3" width="67.140625" customWidth="1"/>
    <col min="4" max="4" width="17.28515625" customWidth="1"/>
    <col min="5" max="6" width="59.42578125" customWidth="1"/>
    <col min="7" max="8" width="71.5703125" customWidth="1"/>
    <col min="9" max="10" width="59.42578125" customWidth="1"/>
    <col min="11" max="12" width="71.5703125" customWidth="1"/>
  </cols>
  <sheetData>
    <row r="1" spans="1:6" ht="18.75" hidden="1" outlineLevel="1" thickBot="1" x14ac:dyDescent="0.3">
      <c r="A1" s="31" t="str">
        <f>VLOOKUP(1003,LANGUAGE_DB,2)</f>
        <v>Einstellungen</v>
      </c>
      <c r="B1" s="47"/>
    </row>
    <row r="2" spans="1:6" ht="15.75" hidden="1" outlineLevel="1" thickBot="1" x14ac:dyDescent="0.3">
      <c r="A2" s="48" t="str">
        <f>VLOOKUP(1004,LANGUAGE_DB,2)</f>
        <v>erster Eintrag in Zeile</v>
      </c>
      <c r="C2" s="46">
        <f>ROW(D17)+1</f>
        <v>18</v>
      </c>
    </row>
    <row r="3" spans="1:6" ht="15.75" hidden="1" outlineLevel="1" thickBot="1" x14ac:dyDescent="0.3">
      <c r="A3" s="48" t="str">
        <f>VLOOKUP(1005,LANGUAGE_DB,2)</f>
        <v>Kurznummer für Liste</v>
      </c>
      <c r="C3" s="46" t="s">
        <v>519</v>
      </c>
    </row>
    <row r="4" spans="1:6" s="128" customFormat="1" ht="15.75" hidden="1" outlineLevel="1" thickBot="1" x14ac:dyDescent="0.3">
      <c r="A4" s="48" t="str">
        <f>VLOOKUP(5065,LANGUAGE_DB,2)</f>
        <v>letzter  Eintrag in Zeile</v>
      </c>
      <c r="C4" s="46">
        <f>ROW(D46)-1</f>
        <v>45</v>
      </c>
    </row>
    <row r="5" spans="1:6" s="128" customFormat="1" hidden="1" outlineLevel="1" x14ac:dyDescent="0.25"/>
    <row r="6" spans="1:6" hidden="1" outlineLevel="1" x14ac:dyDescent="0.25">
      <c r="A6" s="48"/>
      <c r="C6" s="49"/>
    </row>
    <row r="7" spans="1:6" hidden="1" outlineLevel="1" x14ac:dyDescent="0.25">
      <c r="A7" s="48"/>
      <c r="C7" s="49"/>
    </row>
    <row r="8" spans="1:6" hidden="1" outlineLevel="1" x14ac:dyDescent="0.25">
      <c r="A8" s="48"/>
      <c r="C8" s="49"/>
    </row>
    <row r="9" spans="1:6" hidden="1" outlineLevel="1" x14ac:dyDescent="0.25">
      <c r="A9" s="48"/>
      <c r="C9" s="49"/>
    </row>
    <row r="10" spans="1:6" hidden="1" outlineLevel="1" x14ac:dyDescent="0.25">
      <c r="A10" s="48"/>
      <c r="C10" s="49"/>
    </row>
    <row r="11" spans="1:6" hidden="1" outlineLevel="1" x14ac:dyDescent="0.25">
      <c r="A11" s="48"/>
      <c r="C11" s="49"/>
    </row>
    <row r="12" spans="1:6" hidden="1" outlineLevel="1" x14ac:dyDescent="0.25">
      <c r="A12" s="48"/>
      <c r="C12" s="49"/>
    </row>
    <row r="13" spans="1:6" hidden="1" outlineLevel="1" x14ac:dyDescent="0.25">
      <c r="A13" s="48"/>
      <c r="C13" s="49"/>
    </row>
    <row r="14" spans="1:6" hidden="1" outlineLevel="1" x14ac:dyDescent="0.25">
      <c r="A14" s="48"/>
      <c r="C14" s="49"/>
    </row>
    <row r="15" spans="1:6" ht="18" collapsed="1" x14ac:dyDescent="0.25">
      <c r="A15" s="31" t="str">
        <f>VLOOKUP(1021,LANGUAGE_DB,2)</f>
        <v>potentieller Fehler</v>
      </c>
      <c r="C15" s="49"/>
    </row>
    <row r="16" spans="1:6" ht="15.75" thickBot="1" x14ac:dyDescent="0.3">
      <c r="E16" s="24"/>
      <c r="F16" s="24"/>
    </row>
    <row r="17" spans="1:11" ht="30.75" thickBot="1" x14ac:dyDescent="0.3">
      <c r="A17" s="42" t="str">
        <f>VLOOKUP(5004,LANGUAGE_DB,2)</f>
        <v>Referenz Nummer</v>
      </c>
      <c r="B17" s="43" t="str">
        <f t="shared" ref="B17:B24" si="0">IF(E17="","",IF(Language_chosen=0,E17,F17))</f>
        <v>Bedrohung Titel</v>
      </c>
      <c r="C17" s="42" t="str">
        <f t="shared" ref="C17:C24" si="1">IF(G17="","",IF(Language_chosen=0,G17,H17))</f>
        <v>Bedrohungs-Beschreibung</v>
      </c>
      <c r="D17" s="21" t="s">
        <v>104</v>
      </c>
      <c r="E17" s="21" t="s">
        <v>106</v>
      </c>
      <c r="F17" s="21" t="s">
        <v>107</v>
      </c>
      <c r="G17" s="21" t="s">
        <v>108</v>
      </c>
      <c r="H17" s="21" t="s">
        <v>109</v>
      </c>
      <c r="I17" s="21"/>
      <c r="J17" s="14"/>
      <c r="K17" s="14"/>
    </row>
    <row r="18" spans="1:11" x14ac:dyDescent="0.25">
      <c r="A18" s="273" t="str">
        <f>CONCATENATE($C$3,IF(LEN(ROW(A18)-$C$2+1)=1,"00",IF(LEN(ROW(A18)-$C$2+1)=2,"0","")),ROW(A18)-$C$2+1)</f>
        <v>PF001</v>
      </c>
      <c r="B18" s="274" t="str">
        <f t="shared" si="0"/>
        <v>nicht gewünschte Ausführungen von Funktionen</v>
      </c>
      <c r="C18" s="275" t="str">
        <f t="shared" si="1"/>
        <v/>
      </c>
      <c r="D18" s="254"/>
      <c r="E18" s="256" t="s">
        <v>622</v>
      </c>
      <c r="F18" s="256" t="s">
        <v>623</v>
      </c>
      <c r="G18" s="256"/>
      <c r="H18" s="256" t="s">
        <v>103</v>
      </c>
      <c r="I18" s="257"/>
      <c r="J18" s="257"/>
      <c r="K18" s="257"/>
    </row>
    <row r="19" spans="1:11" x14ac:dyDescent="0.25">
      <c r="A19" s="258" t="str">
        <f t="shared" ref="A19:A45" si="2">CONCATENATE($C$3,IF(LEN(ROW(A19)-$C$2+1)=1,"00",IF(LEN(ROW(A19)-$C$2+1)=2,"0","")),ROW(A19)-$C$2+1)</f>
        <v>PF002</v>
      </c>
      <c r="B19" s="259" t="str">
        <f t="shared" si="0"/>
        <v>Wohnbereich zu kalt/warm</v>
      </c>
      <c r="C19" s="260" t="str">
        <f t="shared" si="1"/>
        <v/>
      </c>
      <c r="D19" s="257"/>
      <c r="E19" s="256" t="s">
        <v>624</v>
      </c>
      <c r="F19" s="256" t="s">
        <v>625</v>
      </c>
      <c r="G19" s="256"/>
      <c r="H19" s="256" t="s">
        <v>103</v>
      </c>
      <c r="I19" s="257"/>
      <c r="J19" s="257"/>
      <c r="K19" s="257"/>
    </row>
    <row r="20" spans="1:11" x14ac:dyDescent="0.25">
      <c r="A20" s="258" t="str">
        <f t="shared" si="2"/>
        <v>PF003</v>
      </c>
      <c r="B20" s="259" t="str">
        <f t="shared" si="0"/>
        <v>Hardware Ausfall (ohne Fremdeinwirkung)</v>
      </c>
      <c r="C20" s="260" t="str">
        <f t="shared" si="1"/>
        <v/>
      </c>
      <c r="D20" s="261"/>
      <c r="E20" s="263" t="s">
        <v>281</v>
      </c>
      <c r="F20" s="263" t="s">
        <v>282</v>
      </c>
      <c r="G20" s="263"/>
      <c r="H20" s="263"/>
      <c r="I20" s="257"/>
      <c r="J20" s="257"/>
      <c r="K20" s="257"/>
    </row>
    <row r="21" spans="1:11" x14ac:dyDescent="0.25">
      <c r="A21" s="258" t="str">
        <f t="shared" si="2"/>
        <v>PF004</v>
      </c>
      <c r="B21" s="259" t="str">
        <f t="shared" si="0"/>
        <v>Diebstahl</v>
      </c>
      <c r="C21" s="260" t="str">
        <f t="shared" si="1"/>
        <v/>
      </c>
      <c r="D21" s="261"/>
      <c r="E21" s="263" t="s">
        <v>116</v>
      </c>
      <c r="F21" s="263" t="s">
        <v>117</v>
      </c>
      <c r="G21" s="263"/>
      <c r="H21" s="263"/>
      <c r="I21" s="257"/>
      <c r="J21" s="257"/>
      <c r="K21" s="257"/>
    </row>
    <row r="22" spans="1:11" x14ac:dyDescent="0.25">
      <c r="A22" s="258" t="str">
        <f t="shared" si="2"/>
        <v>PF005</v>
      </c>
      <c r="B22" s="259" t="str">
        <f t="shared" si="0"/>
        <v>fehlende Stromzuführung</v>
      </c>
      <c r="C22" s="260" t="str">
        <f t="shared" si="1"/>
        <v/>
      </c>
      <c r="D22" s="261"/>
      <c r="E22" s="263" t="s">
        <v>248</v>
      </c>
      <c r="F22" s="263" t="s">
        <v>284</v>
      </c>
      <c r="G22" s="263"/>
      <c r="H22" s="263"/>
      <c r="I22" s="257"/>
      <c r="J22" s="257"/>
      <c r="K22" s="257"/>
    </row>
    <row r="23" spans="1:11" x14ac:dyDescent="0.25">
      <c r="A23" s="258" t="str">
        <f t="shared" si="2"/>
        <v>PF006</v>
      </c>
      <c r="B23" s="259" t="str">
        <f t="shared" si="0"/>
        <v>Verlust (Eigenverschulden)</v>
      </c>
      <c r="C23" s="260" t="str">
        <f t="shared" si="1"/>
        <v/>
      </c>
      <c r="D23" s="261"/>
      <c r="E23" s="263" t="s">
        <v>279</v>
      </c>
      <c r="F23" s="263" t="s">
        <v>283</v>
      </c>
      <c r="G23" s="263"/>
      <c r="H23" s="263"/>
      <c r="I23" s="257"/>
      <c r="J23" s="257"/>
      <c r="K23" s="257"/>
    </row>
    <row r="24" spans="1:11" x14ac:dyDescent="0.25">
      <c r="A24" s="258" t="str">
        <f t="shared" si="2"/>
        <v>PF007</v>
      </c>
      <c r="B24" s="259" t="str">
        <f t="shared" si="0"/>
        <v>Hardware Ausfall (durch Fremdeinwirkung)</v>
      </c>
      <c r="C24" s="260" t="str">
        <f t="shared" si="1"/>
        <v/>
      </c>
      <c r="D24" s="261"/>
      <c r="E24" s="263" t="s">
        <v>280</v>
      </c>
      <c r="F24" s="263" t="s">
        <v>285</v>
      </c>
      <c r="G24" s="263"/>
      <c r="H24" s="263"/>
      <c r="I24" s="257"/>
      <c r="J24" s="257"/>
      <c r="K24" s="257"/>
    </row>
    <row r="25" spans="1:11" x14ac:dyDescent="0.25">
      <c r="A25" s="258" t="str">
        <f t="shared" si="2"/>
        <v>PF008</v>
      </c>
      <c r="B25" s="259" t="str">
        <f t="shared" ref="B25:B45" si="3">IF(E25="","",IF(Language_chosen=0,E25,F25))</f>
        <v>menschliche Fehlhandlung</v>
      </c>
      <c r="C25" s="260" t="str">
        <f t="shared" ref="C25:C45" si="4">IF(G25="","",IF(Language_chosen=0,G25,H25))</f>
        <v/>
      </c>
      <c r="D25" s="261"/>
      <c r="E25" s="263" t="s">
        <v>626</v>
      </c>
      <c r="F25" s="263" t="s">
        <v>627</v>
      </c>
      <c r="G25" s="263"/>
      <c r="H25" s="263"/>
      <c r="I25" s="257"/>
      <c r="J25" s="257"/>
      <c r="K25" s="257"/>
    </row>
    <row r="26" spans="1:11" x14ac:dyDescent="0.25">
      <c r="A26" s="258" t="str">
        <f t="shared" si="2"/>
        <v>PF009</v>
      </c>
      <c r="B26" s="259" t="str">
        <f t="shared" si="3"/>
        <v>kleinere Fehlfunktionen</v>
      </c>
      <c r="C26" s="260" t="str">
        <f t="shared" si="4"/>
        <v/>
      </c>
      <c r="D26" s="261"/>
      <c r="E26" s="263" t="s">
        <v>645</v>
      </c>
      <c r="F26" s="263" t="s">
        <v>646</v>
      </c>
      <c r="G26" s="263"/>
      <c r="H26" s="263"/>
      <c r="I26" s="257"/>
      <c r="J26" s="257"/>
      <c r="K26" s="257"/>
    </row>
    <row r="27" spans="1:11" x14ac:dyDescent="0.25">
      <c r="A27" s="258" t="str">
        <f t="shared" si="2"/>
        <v>PF010</v>
      </c>
      <c r="B27" s="259" t="str">
        <f t="shared" si="3"/>
        <v>grosse Fehlfunktionen</v>
      </c>
      <c r="C27" s="260" t="str">
        <f t="shared" si="4"/>
        <v/>
      </c>
      <c r="D27" s="261"/>
      <c r="E27" s="263" t="s">
        <v>644</v>
      </c>
      <c r="F27" s="263" t="s">
        <v>647</v>
      </c>
      <c r="G27" s="263"/>
      <c r="H27" s="263"/>
      <c r="I27" s="257"/>
      <c r="J27" s="257"/>
      <c r="K27" s="257"/>
    </row>
    <row r="28" spans="1:11" x14ac:dyDescent="0.25">
      <c r="A28" s="258" t="str">
        <f t="shared" si="2"/>
        <v>PF011</v>
      </c>
      <c r="B28" s="259" t="str">
        <f t="shared" si="3"/>
        <v>Verlust oder Teilverlust der Kontrolle</v>
      </c>
      <c r="C28" s="260" t="str">
        <f t="shared" si="4"/>
        <v/>
      </c>
      <c r="D28" s="261"/>
      <c r="E28" s="263" t="s">
        <v>661</v>
      </c>
      <c r="F28" s="263" t="s">
        <v>662</v>
      </c>
      <c r="G28" s="263"/>
      <c r="H28" s="263"/>
      <c r="I28" s="257"/>
      <c r="J28" s="257"/>
      <c r="K28" s="257"/>
    </row>
    <row r="29" spans="1:11" x14ac:dyDescent="0.25">
      <c r="A29" s="258" t="str">
        <f t="shared" si="2"/>
        <v>PF012</v>
      </c>
      <c r="B29" s="259" t="str">
        <f t="shared" si="3"/>
        <v>Identitätsdiebstahl</v>
      </c>
      <c r="C29" s="260" t="str">
        <f t="shared" si="4"/>
        <v/>
      </c>
      <c r="D29" s="261"/>
      <c r="E29" s="263" t="s">
        <v>675</v>
      </c>
      <c r="F29" s="263" t="s">
        <v>676</v>
      </c>
      <c r="G29" s="263"/>
      <c r="H29" s="263"/>
      <c r="I29" s="257"/>
      <c r="J29" s="257"/>
      <c r="K29" s="257"/>
    </row>
    <row r="30" spans="1:11" x14ac:dyDescent="0.25">
      <c r="A30" s="258" t="str">
        <f t="shared" si="2"/>
        <v>PF013</v>
      </c>
      <c r="B30" s="259" t="str">
        <f t="shared" si="3"/>
        <v>Ausfall WLAN Infrastruktur</v>
      </c>
      <c r="C30" s="260" t="str">
        <f t="shared" si="4"/>
        <v/>
      </c>
      <c r="D30" s="261"/>
      <c r="E30" s="263" t="s">
        <v>680</v>
      </c>
      <c r="F30" s="263" t="s">
        <v>681</v>
      </c>
      <c r="G30" s="263"/>
      <c r="H30" s="263"/>
      <c r="I30" s="257"/>
      <c r="J30" s="257"/>
      <c r="K30" s="257"/>
    </row>
    <row r="31" spans="1:11" x14ac:dyDescent="0.25">
      <c r="A31" s="258" t="str">
        <f t="shared" si="2"/>
        <v>PF014</v>
      </c>
      <c r="B31" s="259" t="str">
        <f t="shared" si="3"/>
        <v>Kompromittierung von Dritthersteller</v>
      </c>
      <c r="C31" s="260" t="str">
        <f t="shared" si="4"/>
        <v/>
      </c>
      <c r="D31" s="261"/>
      <c r="E31" s="272" t="s">
        <v>690</v>
      </c>
      <c r="F31" s="272" t="s">
        <v>689</v>
      </c>
      <c r="G31" s="263"/>
      <c r="H31" s="263"/>
      <c r="I31" s="257"/>
      <c r="J31" s="257"/>
      <c r="K31" s="257"/>
    </row>
    <row r="32" spans="1:11" x14ac:dyDescent="0.25">
      <c r="A32" s="258" t="str">
        <f t="shared" si="2"/>
        <v>PF015</v>
      </c>
      <c r="B32" s="259" t="str">
        <f t="shared" si="3"/>
        <v>private Daten in falschen Händen</v>
      </c>
      <c r="C32" s="260" t="str">
        <f t="shared" si="4"/>
        <v/>
      </c>
      <c r="D32" s="261"/>
      <c r="E32" s="263" t="s">
        <v>692</v>
      </c>
      <c r="F32" s="263" t="s">
        <v>691</v>
      </c>
      <c r="G32" s="263"/>
      <c r="H32" s="263"/>
      <c r="I32" s="257"/>
      <c r="J32" s="257"/>
      <c r="K32" s="257"/>
    </row>
    <row r="33" spans="1:11" x14ac:dyDescent="0.25">
      <c r="A33" s="258" t="str">
        <f t="shared" si="2"/>
        <v>PF016</v>
      </c>
      <c r="B33" s="259" t="str">
        <f t="shared" si="3"/>
        <v>Drittanbieter kann Dienst nicht zur Verfügung stellen</v>
      </c>
      <c r="C33" s="260" t="str">
        <f t="shared" si="4"/>
        <v/>
      </c>
      <c r="D33" s="261"/>
      <c r="E33" s="263" t="s">
        <v>737</v>
      </c>
      <c r="F33" s="263" t="s">
        <v>738</v>
      </c>
      <c r="G33" s="263"/>
      <c r="H33" s="263"/>
      <c r="I33" s="257"/>
      <c r="J33" s="257"/>
      <c r="K33" s="257"/>
    </row>
    <row r="34" spans="1:11" x14ac:dyDescent="0.25">
      <c r="A34" s="258" t="str">
        <f t="shared" si="2"/>
        <v>PF017</v>
      </c>
      <c r="B34" s="259" t="str">
        <f t="shared" si="3"/>
        <v>falsche Datenausgaben</v>
      </c>
      <c r="C34" s="260" t="str">
        <f t="shared" si="4"/>
        <v/>
      </c>
      <c r="D34" s="261"/>
      <c r="E34" s="263" t="s">
        <v>750</v>
      </c>
      <c r="F34" s="263" t="s">
        <v>751</v>
      </c>
      <c r="G34" s="263"/>
      <c r="H34" s="263"/>
      <c r="I34" s="257"/>
      <c r="J34" s="257"/>
      <c r="K34" s="257"/>
    </row>
    <row r="35" spans="1:11" x14ac:dyDescent="0.25">
      <c r="A35" s="258" t="str">
        <f t="shared" si="2"/>
        <v>PF018</v>
      </c>
      <c r="B35" s="259" t="str">
        <f t="shared" si="3"/>
        <v>Softwarefehler</v>
      </c>
      <c r="C35" s="260" t="str">
        <f t="shared" si="4"/>
        <v/>
      </c>
      <c r="D35" s="261"/>
      <c r="E35" s="263" t="s">
        <v>602</v>
      </c>
      <c r="F35" s="263"/>
      <c r="G35" s="263"/>
      <c r="H35" s="263"/>
      <c r="I35" s="257"/>
      <c r="J35" s="257"/>
      <c r="K35" s="257"/>
    </row>
    <row r="36" spans="1:11" x14ac:dyDescent="0.25">
      <c r="A36" s="258" t="str">
        <f t="shared" si="2"/>
        <v>PF019</v>
      </c>
      <c r="B36" s="259" t="str">
        <f t="shared" si="3"/>
        <v>Kompromittierung</v>
      </c>
      <c r="C36" s="260" t="str">
        <f t="shared" si="4"/>
        <v/>
      </c>
      <c r="D36" s="261"/>
      <c r="E36" s="272" t="s">
        <v>765</v>
      </c>
      <c r="F36" s="263" t="s">
        <v>766</v>
      </c>
      <c r="G36" s="263"/>
      <c r="H36" s="263"/>
      <c r="I36" s="257"/>
      <c r="J36" s="257"/>
      <c r="K36" s="257"/>
    </row>
    <row r="37" spans="1:11" x14ac:dyDescent="0.25">
      <c r="A37" s="258" t="str">
        <f t="shared" si="2"/>
        <v>PF020</v>
      </c>
      <c r="B37" s="259" t="str">
        <f t="shared" si="3"/>
        <v>kein Zutritt zum eigenen Wohnheim</v>
      </c>
      <c r="C37" s="260" t="str">
        <f t="shared" si="4"/>
        <v/>
      </c>
      <c r="D37" s="261"/>
      <c r="E37" s="263" t="s">
        <v>768</v>
      </c>
      <c r="F37" s="263" t="s">
        <v>769</v>
      </c>
      <c r="G37" s="263"/>
      <c r="H37" s="263"/>
      <c r="I37" s="257"/>
      <c r="J37" s="257"/>
      <c r="K37" s="257"/>
    </row>
    <row r="38" spans="1:11" x14ac:dyDescent="0.25">
      <c r="A38" s="258" t="str">
        <f t="shared" si="2"/>
        <v>PF021</v>
      </c>
      <c r="B38" s="259" t="str">
        <f t="shared" si="3"/>
        <v>Bremsen funktionieren nicht</v>
      </c>
      <c r="C38" s="260" t="str">
        <f t="shared" si="4"/>
        <v/>
      </c>
      <c r="D38" s="261"/>
      <c r="E38" s="263" t="s">
        <v>794</v>
      </c>
      <c r="F38" s="263" t="s">
        <v>795</v>
      </c>
      <c r="G38" s="263"/>
      <c r="H38" s="263"/>
      <c r="I38" s="257"/>
      <c r="J38" s="257"/>
      <c r="K38" s="257"/>
    </row>
    <row r="39" spans="1:11" x14ac:dyDescent="0.25">
      <c r="A39" s="258" t="str">
        <f t="shared" si="2"/>
        <v>PF022</v>
      </c>
      <c r="B39" s="259" t="str">
        <f t="shared" si="3"/>
        <v/>
      </c>
      <c r="C39" s="260" t="str">
        <f t="shared" si="4"/>
        <v/>
      </c>
      <c r="D39" s="261"/>
      <c r="E39" s="263"/>
      <c r="F39" s="263"/>
      <c r="G39" s="263"/>
      <c r="H39" s="263"/>
      <c r="I39" s="257"/>
      <c r="J39" s="257"/>
      <c r="K39" s="257"/>
    </row>
    <row r="40" spans="1:11" x14ac:dyDescent="0.25">
      <c r="A40" s="258" t="str">
        <f t="shared" si="2"/>
        <v>PF023</v>
      </c>
      <c r="B40" s="259" t="str">
        <f t="shared" si="3"/>
        <v/>
      </c>
      <c r="C40" s="260" t="str">
        <f t="shared" si="4"/>
        <v/>
      </c>
      <c r="D40" s="261"/>
      <c r="E40" s="263"/>
      <c r="F40" s="263"/>
      <c r="G40" s="263"/>
      <c r="H40" s="263"/>
      <c r="I40" s="257"/>
      <c r="J40" s="257"/>
      <c r="K40" s="257"/>
    </row>
    <row r="41" spans="1:11" x14ac:dyDescent="0.25">
      <c r="A41" s="258" t="str">
        <f t="shared" si="2"/>
        <v>PF024</v>
      </c>
      <c r="B41" s="259" t="str">
        <f t="shared" si="3"/>
        <v/>
      </c>
      <c r="C41" s="260" t="str">
        <f t="shared" si="4"/>
        <v/>
      </c>
      <c r="D41" s="257"/>
      <c r="E41" s="263"/>
      <c r="F41" s="263"/>
      <c r="G41" s="263"/>
      <c r="H41" s="263"/>
      <c r="I41" s="257"/>
      <c r="J41" s="257"/>
      <c r="K41" s="257"/>
    </row>
    <row r="42" spans="1:11" x14ac:dyDescent="0.25">
      <c r="A42" s="258" t="str">
        <f t="shared" si="2"/>
        <v>PF025</v>
      </c>
      <c r="B42" s="259" t="str">
        <f t="shared" si="3"/>
        <v/>
      </c>
      <c r="C42" s="260" t="str">
        <f t="shared" si="4"/>
        <v/>
      </c>
      <c r="D42" s="257"/>
      <c r="E42" s="263"/>
      <c r="F42" s="263"/>
      <c r="G42" s="263"/>
      <c r="H42" s="263"/>
      <c r="I42" s="257"/>
      <c r="J42" s="257"/>
      <c r="K42" s="257"/>
    </row>
    <row r="43" spans="1:11" x14ac:dyDescent="0.25">
      <c r="A43" s="258" t="str">
        <f t="shared" si="2"/>
        <v>PF026</v>
      </c>
      <c r="B43" s="259" t="str">
        <f t="shared" si="3"/>
        <v/>
      </c>
      <c r="C43" s="260" t="str">
        <f t="shared" si="4"/>
        <v/>
      </c>
      <c r="D43" s="257"/>
      <c r="E43" s="263"/>
      <c r="F43" s="263"/>
      <c r="G43" s="263"/>
      <c r="H43" s="263"/>
      <c r="I43" s="257"/>
      <c r="J43" s="257"/>
      <c r="K43" s="257"/>
    </row>
    <row r="44" spans="1:11" x14ac:dyDescent="0.25">
      <c r="A44" s="258" t="str">
        <f t="shared" si="2"/>
        <v>PF027</v>
      </c>
      <c r="B44" s="259" t="str">
        <f t="shared" si="3"/>
        <v/>
      </c>
      <c r="C44" s="260" t="str">
        <f t="shared" si="4"/>
        <v/>
      </c>
      <c r="D44" s="257"/>
      <c r="E44" s="263"/>
      <c r="F44" s="263"/>
      <c r="G44" s="263"/>
      <c r="H44" s="263"/>
      <c r="I44" s="257"/>
      <c r="J44" s="257"/>
      <c r="K44" s="257"/>
    </row>
    <row r="45" spans="1:11" ht="15.75" thickBot="1" x14ac:dyDescent="0.3">
      <c r="A45" s="265" t="str">
        <f t="shared" si="2"/>
        <v>PF028</v>
      </c>
      <c r="B45" s="266" t="str">
        <f t="shared" si="3"/>
        <v/>
      </c>
      <c r="C45" s="267" t="str">
        <f t="shared" si="4"/>
        <v/>
      </c>
      <c r="D45" s="257"/>
      <c r="E45" s="263"/>
      <c r="F45" s="263"/>
      <c r="G45" s="263"/>
      <c r="H45" s="263"/>
      <c r="I45" s="257"/>
      <c r="J45" s="257"/>
      <c r="K45" s="257"/>
    </row>
    <row r="46" spans="1:11" x14ac:dyDescent="0.25">
      <c r="A46" s="257"/>
      <c r="B46" s="257"/>
      <c r="C46" s="257"/>
      <c r="D46" s="257" t="s">
        <v>171</v>
      </c>
      <c r="E46" s="257"/>
      <c r="F46" s="257"/>
      <c r="G46" s="257"/>
      <c r="H46" s="257"/>
      <c r="I46" s="257"/>
      <c r="J46" s="257"/>
      <c r="K46" s="257"/>
    </row>
    <row r="47" spans="1:11" x14ac:dyDescent="0.25">
      <c r="A47" s="257"/>
      <c r="B47" s="257"/>
      <c r="C47" s="257"/>
      <c r="D47" s="257"/>
      <c r="E47" s="257"/>
      <c r="F47" s="257"/>
      <c r="G47" s="257"/>
      <c r="H47" s="257"/>
      <c r="I47" s="257"/>
      <c r="J47" s="257"/>
      <c r="K47" s="257"/>
    </row>
    <row r="48" spans="1:11" x14ac:dyDescent="0.25">
      <c r="A48" s="257"/>
      <c r="B48" s="257"/>
      <c r="C48" s="257"/>
      <c r="D48" s="257"/>
      <c r="E48" s="257"/>
      <c r="F48" s="257"/>
      <c r="G48" s="257"/>
      <c r="H48" s="257"/>
      <c r="I48" s="257"/>
      <c r="J48" s="257"/>
      <c r="K48" s="257"/>
    </row>
    <row r="49" spans="1:11" x14ac:dyDescent="0.25">
      <c r="A49" s="257"/>
      <c r="B49" s="257"/>
      <c r="C49" s="257"/>
      <c r="D49" s="257"/>
      <c r="E49" s="257"/>
      <c r="F49" s="257"/>
      <c r="G49" s="257"/>
      <c r="H49" s="257"/>
      <c r="I49" s="257"/>
      <c r="J49" s="257"/>
      <c r="K49" s="257"/>
    </row>
    <row r="50" spans="1:11" x14ac:dyDescent="0.25">
      <c r="A50" s="257"/>
      <c r="B50" s="257"/>
      <c r="C50" s="257"/>
      <c r="D50" s="257"/>
      <c r="E50" s="257"/>
      <c r="F50" s="257"/>
      <c r="G50" s="257"/>
      <c r="H50" s="257"/>
      <c r="I50" s="257"/>
      <c r="J50" s="257"/>
      <c r="K50" s="257"/>
    </row>
    <row r="51" spans="1:11" x14ac:dyDescent="0.25">
      <c r="A51" s="257"/>
      <c r="B51" s="257"/>
      <c r="C51" s="257"/>
      <c r="D51" s="257"/>
      <c r="E51" s="257"/>
      <c r="F51" s="257"/>
      <c r="G51" s="257"/>
      <c r="H51" s="257"/>
      <c r="I51" s="257"/>
      <c r="J51" s="257"/>
      <c r="K51" s="257"/>
    </row>
    <row r="52" spans="1:11" x14ac:dyDescent="0.25">
      <c r="A52" s="257"/>
      <c r="B52" s="257"/>
      <c r="C52" s="257"/>
      <c r="D52" s="257"/>
      <c r="E52" s="257"/>
      <c r="F52" s="257"/>
      <c r="G52" s="257"/>
      <c r="H52" s="257"/>
      <c r="I52" s="257"/>
      <c r="J52" s="257"/>
      <c r="K52" s="257"/>
    </row>
    <row r="53" spans="1:11" x14ac:dyDescent="0.25">
      <c r="A53" s="257"/>
      <c r="B53" s="257"/>
      <c r="C53" s="257"/>
      <c r="D53" s="257"/>
      <c r="E53" s="257"/>
      <c r="F53" s="257"/>
      <c r="G53" s="257"/>
      <c r="H53" s="257"/>
      <c r="I53" s="257"/>
      <c r="J53" s="257"/>
      <c r="K53" s="257"/>
    </row>
    <row r="54" spans="1:11" x14ac:dyDescent="0.25">
      <c r="A54" s="257"/>
      <c r="B54" s="257"/>
      <c r="C54" s="257"/>
      <c r="D54" s="257"/>
      <c r="E54" s="257"/>
      <c r="F54" s="257"/>
      <c r="G54" s="257"/>
      <c r="H54" s="257"/>
      <c r="I54" s="257"/>
      <c r="J54" s="257"/>
      <c r="K54" s="257"/>
    </row>
    <row r="55" spans="1:11" x14ac:dyDescent="0.25">
      <c r="A55" s="257"/>
      <c r="B55" s="257"/>
      <c r="C55" s="257"/>
      <c r="D55" s="257"/>
      <c r="E55" s="257"/>
      <c r="F55" s="257"/>
      <c r="G55" s="257"/>
      <c r="H55" s="257"/>
      <c r="I55" s="257"/>
      <c r="J55" s="257"/>
      <c r="K55" s="257"/>
    </row>
  </sheetData>
  <sheetProtection sheet="1" formatCells="0" formatColumns="0" formatRows="0" insertColumns="0" insertRows="0" insertHyperlinks="0" deleteColumns="0" deleteRows="0" sort="0" autoFilter="0" pivotTables="0"/>
  <autoFilter ref="A17:C17"/>
  <conditionalFormatting sqref="A18:C45">
    <cfRule type="expression" dxfId="55" priority="1">
      <formula>MOD(ROW(),2)=1</formula>
    </cfRule>
    <cfRule type="expression" dxfId="54" priority="2">
      <formula>MOD(ROW(),2)=0</formula>
    </cfRule>
  </conditionalFormatting>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8" tint="0.39997558519241921"/>
  </sheetPr>
  <dimension ref="A1:K71"/>
  <sheetViews>
    <sheetView topLeftCell="A15" zoomScaleNormal="100" workbookViewId="0">
      <pane ySplit="3" topLeftCell="A18" activePane="bottomLeft" state="frozen"/>
      <selection activeCell="D20" sqref="D20"/>
      <selection pane="bottomLeft" activeCell="A15" sqref="A15"/>
    </sheetView>
  </sheetViews>
  <sheetFormatPr baseColWidth="10" defaultRowHeight="15" outlineLevelRow="1" x14ac:dyDescent="0.25"/>
  <cols>
    <col min="1" max="1" width="10" customWidth="1"/>
    <col min="2" max="2" width="53.5703125" customWidth="1"/>
    <col min="3" max="3" width="67.140625" customWidth="1"/>
    <col min="4" max="4" width="17.28515625" customWidth="1"/>
    <col min="5" max="6" width="59.42578125" customWidth="1"/>
    <col min="7" max="8" width="71.5703125" customWidth="1"/>
  </cols>
  <sheetData>
    <row r="1" spans="1:6" ht="18.75" hidden="1" outlineLevel="1" thickBot="1" x14ac:dyDescent="0.3">
      <c r="A1" s="31" t="str">
        <f>VLOOKUP(1003,LANGUAGE_DB,2)</f>
        <v>Einstellungen</v>
      </c>
      <c r="B1" s="47"/>
    </row>
    <row r="2" spans="1:6" ht="15.75" hidden="1" outlineLevel="1" thickBot="1" x14ac:dyDescent="0.3">
      <c r="A2" s="48" t="str">
        <f>VLOOKUP(1004,LANGUAGE_DB,2)</f>
        <v>erster Eintrag in Zeile</v>
      </c>
      <c r="C2" s="46">
        <f>ROW(D17)+1</f>
        <v>18</v>
      </c>
    </row>
    <row r="3" spans="1:6" ht="15.75" hidden="1" outlineLevel="1" thickBot="1" x14ac:dyDescent="0.3">
      <c r="A3" s="48" t="str">
        <f>VLOOKUP(1005,LANGUAGE_DB,2)</f>
        <v>Kurznummer für Liste</v>
      </c>
      <c r="C3" s="46" t="s">
        <v>246</v>
      </c>
    </row>
    <row r="4" spans="1:6" s="128" customFormat="1" ht="15.75" hidden="1" outlineLevel="1" thickBot="1" x14ac:dyDescent="0.3">
      <c r="A4" s="48" t="str">
        <f>VLOOKUP(5065,LANGUAGE_DB,2)</f>
        <v>letzter  Eintrag in Zeile</v>
      </c>
      <c r="C4" s="46">
        <f>ROW(D56)-1</f>
        <v>55</v>
      </c>
    </row>
    <row r="5" spans="1:6" s="128" customFormat="1" hidden="1" outlineLevel="1" x14ac:dyDescent="0.25"/>
    <row r="6" spans="1:6" hidden="1" outlineLevel="1" x14ac:dyDescent="0.25">
      <c r="A6" s="48"/>
      <c r="C6" s="49"/>
    </row>
    <row r="7" spans="1:6" hidden="1" outlineLevel="1" x14ac:dyDescent="0.25">
      <c r="A7" s="48"/>
      <c r="C7" s="49"/>
    </row>
    <row r="8" spans="1:6" hidden="1" outlineLevel="1" x14ac:dyDescent="0.25">
      <c r="A8" s="48"/>
      <c r="C8" s="49"/>
    </row>
    <row r="9" spans="1:6" hidden="1" outlineLevel="1" x14ac:dyDescent="0.25">
      <c r="A9" s="48"/>
      <c r="C9" s="49"/>
    </row>
    <row r="10" spans="1:6" hidden="1" outlineLevel="1" x14ac:dyDescent="0.25">
      <c r="A10" s="48"/>
      <c r="C10" s="49"/>
    </row>
    <row r="11" spans="1:6" hidden="1" outlineLevel="1" x14ac:dyDescent="0.25">
      <c r="A11" s="48"/>
      <c r="C11" s="49"/>
    </row>
    <row r="12" spans="1:6" hidden="1" outlineLevel="1" x14ac:dyDescent="0.25">
      <c r="A12" s="48"/>
      <c r="C12" s="49"/>
    </row>
    <row r="13" spans="1:6" hidden="1" outlineLevel="1" x14ac:dyDescent="0.25">
      <c r="A13" s="48"/>
      <c r="C13" s="49"/>
    </row>
    <row r="14" spans="1:6" hidden="1" outlineLevel="1" x14ac:dyDescent="0.25">
      <c r="A14" s="48"/>
      <c r="C14" s="49"/>
    </row>
    <row r="15" spans="1:6" ht="18" collapsed="1" x14ac:dyDescent="0.25">
      <c r="A15" s="31" t="str">
        <f>VLOOKUP(1008,LANGUAGE_DB,2)</f>
        <v>potentielle Folgen des Fehlers</v>
      </c>
      <c r="C15" s="49"/>
    </row>
    <row r="16" spans="1:6" ht="15.75" thickBot="1" x14ac:dyDescent="0.3">
      <c r="E16" s="24"/>
      <c r="F16" s="24"/>
    </row>
    <row r="17" spans="1:11" ht="30.75" thickBot="1" x14ac:dyDescent="0.3">
      <c r="A17" s="25" t="str">
        <f>VLOOKUP(5004,LANGUAGE_DB,2)</f>
        <v>Referenz Nummer</v>
      </c>
      <c r="B17" s="26" t="str">
        <f t="shared" ref="B17:B55" si="0">IF(E17="","",IF(Language_chosen=0,E17,F17))</f>
        <v>potentielle Folgen eines Fehlers</v>
      </c>
      <c r="C17" s="25" t="str">
        <f t="shared" ref="C17:C55" si="1">IF(G17="","",IF(Language_chosen=0,G17,H17))</f>
        <v>Beschreibung</v>
      </c>
      <c r="D17" s="21" t="s">
        <v>104</v>
      </c>
      <c r="E17" s="21" t="s">
        <v>230</v>
      </c>
      <c r="F17" s="21" t="s">
        <v>231</v>
      </c>
      <c r="G17" s="21" t="s">
        <v>208</v>
      </c>
      <c r="H17" s="21" t="s">
        <v>209</v>
      </c>
      <c r="I17" s="21"/>
      <c r="J17" s="14"/>
      <c r="K17" s="14"/>
    </row>
    <row r="18" spans="1:11" x14ac:dyDescent="0.25">
      <c r="A18" s="251" t="str">
        <f>CONCATENATE($C$3,IF(LEN(ROW(A18)-$C$2+1)=1,"00",IF(LEN(ROW(A18)-$C$2+1)=2,"0","")),ROW(A18)-$C$2+1)</f>
        <v>RF001</v>
      </c>
      <c r="B18" s="252" t="str">
        <f t="shared" si="0"/>
        <v>Datenverlust</v>
      </c>
      <c r="C18" s="253" t="str">
        <f t="shared" si="1"/>
        <v/>
      </c>
      <c r="D18" s="254"/>
      <c r="E18" s="270" t="s">
        <v>118</v>
      </c>
      <c r="F18" s="270" t="s">
        <v>119</v>
      </c>
      <c r="G18" s="256"/>
      <c r="H18" s="256"/>
      <c r="I18" s="257"/>
      <c r="J18" s="257"/>
      <c r="K18" s="257"/>
    </row>
    <row r="19" spans="1:11" x14ac:dyDescent="0.25">
      <c r="A19" s="258" t="str">
        <f t="shared" ref="A19:A55" si="2">CONCATENATE($C$3,IF(LEN(ROW(A19)-$C$2+1)=1,"00",IF(LEN(ROW(A19)-$C$2+1)=2,"0","")),ROW(A19)-$C$2+1)</f>
        <v>RF002</v>
      </c>
      <c r="B19" s="259" t="str">
        <f t="shared" si="0"/>
        <v>kompletter Stromausfall für &lt;30 Minuten</v>
      </c>
      <c r="C19" s="260" t="str">
        <f t="shared" si="1"/>
        <v/>
      </c>
      <c r="D19" s="257"/>
      <c r="E19" s="270" t="s">
        <v>124</v>
      </c>
      <c r="F19" s="270" t="s">
        <v>125</v>
      </c>
      <c r="G19" s="256"/>
      <c r="H19" s="256"/>
      <c r="I19" s="257"/>
      <c r="J19" s="257"/>
      <c r="K19" s="257"/>
    </row>
    <row r="20" spans="1:11" x14ac:dyDescent="0.25">
      <c r="A20" s="258" t="str">
        <f t="shared" si="2"/>
        <v>RF003</v>
      </c>
      <c r="B20" s="259" t="str">
        <f t="shared" si="0"/>
        <v>kompletter Stromausfall für mehrere Stunden</v>
      </c>
      <c r="C20" s="260" t="str">
        <f t="shared" si="1"/>
        <v/>
      </c>
      <c r="D20" s="261"/>
      <c r="E20" s="271" t="s">
        <v>126</v>
      </c>
      <c r="F20" s="270" t="s">
        <v>129</v>
      </c>
      <c r="G20" s="256"/>
      <c r="H20" s="256"/>
      <c r="I20" s="257"/>
      <c r="J20" s="257"/>
      <c r="K20" s="257"/>
    </row>
    <row r="21" spans="1:11" x14ac:dyDescent="0.25">
      <c r="A21" s="258" t="str">
        <f t="shared" si="2"/>
        <v>RF004</v>
      </c>
      <c r="B21" s="259" t="str">
        <f t="shared" si="0"/>
        <v>kompletter Stromausfall für mehrere Tage</v>
      </c>
      <c r="C21" s="260" t="str">
        <f t="shared" si="1"/>
        <v/>
      </c>
      <c r="D21" s="261"/>
      <c r="E21" s="271" t="s">
        <v>127</v>
      </c>
      <c r="F21" s="270" t="s">
        <v>128</v>
      </c>
      <c r="G21" s="256"/>
      <c r="H21" s="256"/>
      <c r="I21" s="257"/>
      <c r="J21" s="257"/>
      <c r="K21" s="257"/>
    </row>
    <row r="22" spans="1:11" x14ac:dyDescent="0.25">
      <c r="A22" s="258" t="str">
        <f t="shared" si="2"/>
        <v>RF005</v>
      </c>
      <c r="B22" s="259" t="str">
        <f t="shared" si="0"/>
        <v>kein/unkontrollierbares Licht im Haus</v>
      </c>
      <c r="C22" s="260" t="str">
        <f t="shared" si="1"/>
        <v/>
      </c>
      <c r="D22" s="261"/>
      <c r="E22" s="271" t="s">
        <v>308</v>
      </c>
      <c r="F22" s="270" t="s">
        <v>307</v>
      </c>
      <c r="G22" s="256"/>
      <c r="H22" s="256"/>
      <c r="I22" s="257"/>
      <c r="J22" s="257"/>
      <c r="K22" s="257"/>
    </row>
    <row r="23" spans="1:11" x14ac:dyDescent="0.25">
      <c r="A23" s="258" t="str">
        <f t="shared" si="2"/>
        <v>RF006</v>
      </c>
      <c r="B23" s="259" t="str">
        <f t="shared" si="0"/>
        <v>finanzieller Schaden (&lt; 500.-)</v>
      </c>
      <c r="C23" s="260" t="str">
        <f t="shared" si="1"/>
        <v/>
      </c>
      <c r="D23" s="261"/>
      <c r="E23" s="271" t="s">
        <v>202</v>
      </c>
      <c r="F23" s="271" t="s">
        <v>205</v>
      </c>
      <c r="G23" s="256"/>
      <c r="H23" s="256"/>
      <c r="I23" s="257"/>
      <c r="J23" s="257"/>
      <c r="K23" s="257"/>
    </row>
    <row r="24" spans="1:11" x14ac:dyDescent="0.25">
      <c r="A24" s="258" t="str">
        <f t="shared" si="2"/>
        <v>RF007</v>
      </c>
      <c r="B24" s="259" t="str">
        <f t="shared" si="0"/>
        <v>finanzieller Schaden (1'000.- bis 5'000.-)</v>
      </c>
      <c r="C24" s="260" t="str">
        <f t="shared" si="1"/>
        <v/>
      </c>
      <c r="D24" s="261"/>
      <c r="E24" s="271" t="s">
        <v>206</v>
      </c>
      <c r="F24" s="271" t="s">
        <v>207</v>
      </c>
      <c r="G24" s="256"/>
      <c r="H24" s="256"/>
      <c r="I24" s="257"/>
      <c r="J24" s="257"/>
      <c r="K24" s="257"/>
    </row>
    <row r="25" spans="1:11" x14ac:dyDescent="0.25">
      <c r="A25" s="258" t="str">
        <f t="shared" si="2"/>
        <v>RF008</v>
      </c>
      <c r="B25" s="259" t="str">
        <f t="shared" si="0"/>
        <v>finanzieller Schaden (&gt; 10'000.-)</v>
      </c>
      <c r="C25" s="260" t="str">
        <f t="shared" si="1"/>
        <v/>
      </c>
      <c r="D25" s="261"/>
      <c r="E25" s="271" t="s">
        <v>203</v>
      </c>
      <c r="F25" s="271" t="s">
        <v>204</v>
      </c>
      <c r="G25" s="256"/>
      <c r="H25" s="256"/>
      <c r="I25" s="257"/>
      <c r="J25" s="257"/>
      <c r="K25" s="257"/>
    </row>
    <row r="26" spans="1:11" x14ac:dyDescent="0.25">
      <c r="A26" s="258" t="str">
        <f t="shared" si="2"/>
        <v>RF009</v>
      </c>
      <c r="B26" s="259" t="str">
        <f t="shared" si="0"/>
        <v>Verletzung der Privatsphäre</v>
      </c>
      <c r="C26" s="260" t="str">
        <f t="shared" si="1"/>
        <v/>
      </c>
      <c r="D26" s="261"/>
      <c r="E26" s="271" t="s">
        <v>274</v>
      </c>
      <c r="F26" s="271" t="s">
        <v>275</v>
      </c>
      <c r="G26" s="256"/>
      <c r="H26" s="256"/>
      <c r="I26" s="257"/>
      <c r="J26" s="257"/>
      <c r="K26" s="257"/>
    </row>
    <row r="27" spans="1:11" x14ac:dyDescent="0.25">
      <c r="A27" s="258" t="str">
        <f t="shared" si="2"/>
        <v>RF010</v>
      </c>
      <c r="B27" s="259" t="str">
        <f t="shared" si="0"/>
        <v>Smart Home System für Drittpersonen zugänglich</v>
      </c>
      <c r="C27" s="260" t="str">
        <f t="shared" si="1"/>
        <v/>
      </c>
      <c r="D27" s="261"/>
      <c r="E27" s="271" t="s">
        <v>276</v>
      </c>
      <c r="F27" s="271" t="s">
        <v>277</v>
      </c>
      <c r="G27" s="256"/>
      <c r="H27" s="256"/>
      <c r="I27" s="257"/>
      <c r="J27" s="257"/>
      <c r="K27" s="257"/>
    </row>
    <row r="28" spans="1:11" x14ac:dyDescent="0.25">
      <c r="A28" s="258" t="str">
        <f t="shared" si="2"/>
        <v>RF011</v>
      </c>
      <c r="B28" s="259" t="str">
        <f t="shared" si="0"/>
        <v>Einkäufe nicht mehr möglich</v>
      </c>
      <c r="C28" s="260" t="str">
        <f t="shared" si="1"/>
        <v/>
      </c>
      <c r="D28" s="261"/>
      <c r="E28" s="271" t="s">
        <v>278</v>
      </c>
      <c r="F28" s="271" t="s">
        <v>289</v>
      </c>
      <c r="G28" s="256"/>
      <c r="H28" s="256"/>
      <c r="I28" s="257"/>
      <c r="J28" s="257"/>
      <c r="K28" s="257"/>
    </row>
    <row r="29" spans="1:11" x14ac:dyDescent="0.25">
      <c r="A29" s="258" t="str">
        <f t="shared" si="2"/>
        <v>RF012</v>
      </c>
      <c r="B29" s="259" t="str">
        <f t="shared" si="0"/>
        <v>Gefährdung der persönlichen Gesundheit</v>
      </c>
      <c r="C29" s="260" t="str">
        <f t="shared" si="1"/>
        <v/>
      </c>
      <c r="D29" s="261"/>
      <c r="E29" s="271" t="s">
        <v>652</v>
      </c>
      <c r="F29" s="271" t="s">
        <v>651</v>
      </c>
      <c r="G29" s="256"/>
      <c r="H29" s="256"/>
      <c r="I29" s="257"/>
      <c r="J29" s="257"/>
      <c r="K29" s="257"/>
    </row>
    <row r="30" spans="1:11" x14ac:dyDescent="0.25">
      <c r="A30" s="258" t="str">
        <f t="shared" si="2"/>
        <v>RF013</v>
      </c>
      <c r="B30" s="259" t="str">
        <f t="shared" si="0"/>
        <v>Gefährdung des eigenen Lebens</v>
      </c>
      <c r="C30" s="260" t="str">
        <f t="shared" si="1"/>
        <v/>
      </c>
      <c r="D30" s="261"/>
      <c r="E30" s="271" t="s">
        <v>649</v>
      </c>
      <c r="F30" s="271" t="s">
        <v>650</v>
      </c>
      <c r="G30" s="256"/>
      <c r="H30" s="256"/>
      <c r="I30" s="257"/>
      <c r="J30" s="257"/>
      <c r="K30" s="257"/>
    </row>
    <row r="31" spans="1:11" x14ac:dyDescent="0.25">
      <c r="A31" s="258" t="str">
        <f t="shared" si="2"/>
        <v>RF014</v>
      </c>
      <c r="B31" s="259" t="str">
        <f t="shared" si="0"/>
        <v>Schlafen nicht mehr möglich</v>
      </c>
      <c r="C31" s="260" t="str">
        <f t="shared" si="1"/>
        <v/>
      </c>
      <c r="D31" s="261"/>
      <c r="E31" s="271" t="s">
        <v>294</v>
      </c>
      <c r="F31" s="271" t="s">
        <v>295</v>
      </c>
      <c r="G31" s="256"/>
      <c r="H31" s="256"/>
      <c r="I31" s="257"/>
      <c r="J31" s="257"/>
      <c r="K31" s="257"/>
    </row>
    <row r="32" spans="1:11" x14ac:dyDescent="0.25">
      <c r="A32" s="258" t="str">
        <f t="shared" si="2"/>
        <v>RF015</v>
      </c>
      <c r="B32" s="259" t="str">
        <f t="shared" si="0"/>
        <v>Hohe Stromrechnung</v>
      </c>
      <c r="C32" s="260" t="str">
        <f t="shared" si="1"/>
        <v/>
      </c>
      <c r="D32" s="261"/>
      <c r="E32" s="271" t="s">
        <v>296</v>
      </c>
      <c r="F32" s="271" t="s">
        <v>297</v>
      </c>
      <c r="G32" s="256"/>
      <c r="H32" s="256"/>
      <c r="I32" s="257"/>
      <c r="J32" s="257"/>
      <c r="K32" s="257"/>
    </row>
    <row r="33" spans="1:11" x14ac:dyDescent="0.25">
      <c r="A33" s="258" t="str">
        <f t="shared" si="2"/>
        <v>RF016</v>
      </c>
      <c r="B33" s="259" t="str">
        <f t="shared" si="0"/>
        <v>Feuer</v>
      </c>
      <c r="C33" s="260" t="str">
        <f t="shared" si="1"/>
        <v/>
      </c>
      <c r="D33" s="261"/>
      <c r="E33" s="271" t="s">
        <v>305</v>
      </c>
      <c r="F33" s="271" t="s">
        <v>306</v>
      </c>
      <c r="G33" s="256"/>
      <c r="H33" s="256"/>
      <c r="I33" s="257"/>
      <c r="J33" s="257"/>
      <c r="K33" s="257"/>
    </row>
    <row r="34" spans="1:11" x14ac:dyDescent="0.25">
      <c r="A34" s="258" t="str">
        <f t="shared" si="2"/>
        <v>RF017</v>
      </c>
      <c r="B34" s="259" t="str">
        <f t="shared" si="0"/>
        <v>keine Unterhaltung (Filme, Musik, Social Media)</v>
      </c>
      <c r="C34" s="260" t="str">
        <f t="shared" si="1"/>
        <v/>
      </c>
      <c r="D34" s="261"/>
      <c r="E34" s="271" t="s">
        <v>313</v>
      </c>
      <c r="F34" s="271" t="s">
        <v>314</v>
      </c>
      <c r="G34" s="256"/>
      <c r="H34" s="256"/>
      <c r="I34" s="257"/>
      <c r="J34" s="257"/>
      <c r="K34" s="257"/>
    </row>
    <row r="35" spans="1:11" x14ac:dyDescent="0.25">
      <c r="A35" s="258" t="str">
        <f t="shared" si="2"/>
        <v>RF018</v>
      </c>
      <c r="B35" s="259" t="str">
        <f t="shared" si="0"/>
        <v>Verlust der Kontrolle von IoT Geräten</v>
      </c>
      <c r="C35" s="260" t="str">
        <f t="shared" si="1"/>
        <v/>
      </c>
      <c r="D35" s="261"/>
      <c r="E35" s="271" t="s">
        <v>596</v>
      </c>
      <c r="F35" s="271" t="s">
        <v>597</v>
      </c>
      <c r="G35" s="256"/>
      <c r="H35" s="256"/>
      <c r="I35" s="257"/>
      <c r="J35" s="257"/>
      <c r="K35" s="257"/>
    </row>
    <row r="36" spans="1:11" x14ac:dyDescent="0.25">
      <c r="A36" s="258" t="str">
        <f t="shared" si="2"/>
        <v>RF019</v>
      </c>
      <c r="B36" s="259" t="str">
        <f t="shared" si="0"/>
        <v>Verlust von privaten Daten</v>
      </c>
      <c r="C36" s="260" t="str">
        <f t="shared" si="1"/>
        <v/>
      </c>
      <c r="D36" s="261"/>
      <c r="E36" s="271" t="s">
        <v>611</v>
      </c>
      <c r="F36" s="271" t="s">
        <v>612</v>
      </c>
      <c r="G36" s="256"/>
      <c r="H36" s="256"/>
      <c r="I36" s="257"/>
      <c r="J36" s="257"/>
      <c r="K36" s="257"/>
    </row>
    <row r="37" spans="1:11" x14ac:dyDescent="0.25">
      <c r="A37" s="258" t="str">
        <f t="shared" si="2"/>
        <v>RF020</v>
      </c>
      <c r="B37" s="259" t="str">
        <f t="shared" si="0"/>
        <v>Waschen nicht mehr möglich</v>
      </c>
      <c r="C37" s="260" t="str">
        <f t="shared" si="1"/>
        <v/>
      </c>
      <c r="D37" s="261"/>
      <c r="E37" s="271" t="s">
        <v>628</v>
      </c>
      <c r="F37" s="271" t="s">
        <v>629</v>
      </c>
      <c r="G37" s="256"/>
      <c r="H37" s="256"/>
      <c r="I37" s="257"/>
      <c r="J37" s="257"/>
      <c r="K37" s="257"/>
    </row>
    <row r="38" spans="1:11" x14ac:dyDescent="0.25">
      <c r="A38" s="258" t="str">
        <f t="shared" si="2"/>
        <v>RF021</v>
      </c>
      <c r="B38" s="259" t="str">
        <f t="shared" si="0"/>
        <v>Gerät nicht unter Kontrolle</v>
      </c>
      <c r="C38" s="260" t="str">
        <f t="shared" si="1"/>
        <v/>
      </c>
      <c r="D38" s="261"/>
      <c r="E38" s="263" t="s">
        <v>635</v>
      </c>
      <c r="F38" s="263" t="s">
        <v>636</v>
      </c>
      <c r="G38" s="256"/>
      <c r="H38" s="256"/>
      <c r="I38" s="257"/>
      <c r="J38" s="257"/>
      <c r="K38" s="257"/>
    </row>
    <row r="39" spans="1:11" x14ac:dyDescent="0.25">
      <c r="A39" s="258" t="str">
        <f t="shared" si="2"/>
        <v>RF022</v>
      </c>
      <c r="B39" s="259" t="str">
        <f t="shared" si="0"/>
        <v>finanzieller Schaden (nicht bezifferbar)</v>
      </c>
      <c r="C39" s="260" t="str">
        <f t="shared" si="1"/>
        <v/>
      </c>
      <c r="D39" s="261"/>
      <c r="E39" s="271" t="s">
        <v>666</v>
      </c>
      <c r="F39" s="271" t="s">
        <v>667</v>
      </c>
      <c r="G39" s="256"/>
      <c r="H39" s="256"/>
      <c r="I39" s="257"/>
      <c r="J39" s="257"/>
      <c r="K39" s="257"/>
    </row>
    <row r="40" spans="1:11" x14ac:dyDescent="0.25">
      <c r="A40" s="258" t="str">
        <f t="shared" si="2"/>
        <v>RF023</v>
      </c>
      <c r="B40" s="259" t="str">
        <f t="shared" si="0"/>
        <v>Smart Home System nicht steuerbar</v>
      </c>
      <c r="C40" s="260" t="str">
        <f t="shared" si="1"/>
        <v/>
      </c>
      <c r="D40" s="261"/>
      <c r="E40" s="271" t="s">
        <v>683</v>
      </c>
      <c r="F40" s="271" t="s">
        <v>684</v>
      </c>
      <c r="G40" s="256"/>
      <c r="H40" s="256"/>
      <c r="I40" s="257"/>
      <c r="J40" s="257"/>
      <c r="K40" s="257"/>
    </row>
    <row r="41" spans="1:11" x14ac:dyDescent="0.25">
      <c r="A41" s="258" t="str">
        <f t="shared" si="2"/>
        <v>RF024</v>
      </c>
      <c r="B41" s="259" t="str">
        <f t="shared" si="0"/>
        <v>einzelne IoT Geräte nicht erreichbar</v>
      </c>
      <c r="C41" s="260" t="str">
        <f t="shared" si="1"/>
        <v/>
      </c>
      <c r="D41" s="261"/>
      <c r="E41" s="271" t="s">
        <v>685</v>
      </c>
      <c r="F41" s="271" t="s">
        <v>686</v>
      </c>
      <c r="G41" s="256"/>
      <c r="H41" s="256"/>
      <c r="I41" s="257"/>
      <c r="J41" s="257"/>
      <c r="K41" s="257"/>
    </row>
    <row r="42" spans="1:11" x14ac:dyDescent="0.25">
      <c r="A42" s="258" t="str">
        <f t="shared" si="2"/>
        <v>RF025</v>
      </c>
      <c r="B42" s="259" t="str">
        <f t="shared" si="0"/>
        <v>Verkauf von privaten Daten</v>
      </c>
      <c r="C42" s="260" t="str">
        <f t="shared" si="1"/>
        <v/>
      </c>
      <c r="D42" s="261"/>
      <c r="E42" s="271" t="s">
        <v>694</v>
      </c>
      <c r="F42" s="271" t="s">
        <v>695</v>
      </c>
      <c r="G42" s="256"/>
      <c r="H42" s="256"/>
      <c r="I42" s="257"/>
      <c r="J42" s="257"/>
      <c r="K42" s="257"/>
    </row>
    <row r="43" spans="1:11" x14ac:dyDescent="0.25">
      <c r="A43" s="258" t="str">
        <f t="shared" si="2"/>
        <v>RF026</v>
      </c>
      <c r="B43" s="259" t="str">
        <f t="shared" ref="B43:B44" si="3">IF(E43="","",IF(Language_chosen=0,E43,F43))</f>
        <v>Diebstahl von privaten Daten</v>
      </c>
      <c r="C43" s="260" t="str">
        <f t="shared" ref="C43:C44" si="4">IF(G43="","",IF(Language_chosen=0,G43,H43))</f>
        <v/>
      </c>
      <c r="D43" s="261"/>
      <c r="E43" s="271" t="s">
        <v>706</v>
      </c>
      <c r="F43" s="271" t="s">
        <v>707</v>
      </c>
      <c r="G43" s="256"/>
      <c r="H43" s="256"/>
      <c r="I43" s="257"/>
      <c r="J43" s="257"/>
      <c r="K43" s="257"/>
    </row>
    <row r="44" spans="1:11" ht="30" x14ac:dyDescent="0.25">
      <c r="A44" s="258" t="str">
        <f t="shared" si="2"/>
        <v>RF027</v>
      </c>
      <c r="B44" s="259" t="str">
        <f t="shared" si="3"/>
        <v>Strategisches Sammeln von privaten Daten für den Verkauf</v>
      </c>
      <c r="C44" s="260" t="str">
        <f t="shared" si="4"/>
        <v/>
      </c>
      <c r="D44" s="261"/>
      <c r="E44" s="272" t="s">
        <v>699</v>
      </c>
      <c r="F44" s="272" t="s">
        <v>700</v>
      </c>
      <c r="G44" s="256"/>
      <c r="H44" s="256"/>
      <c r="I44" s="257"/>
      <c r="J44" s="257"/>
      <c r="K44" s="257"/>
    </row>
    <row r="45" spans="1:11" x14ac:dyDescent="0.25">
      <c r="A45" s="258" t="str">
        <f t="shared" si="2"/>
        <v>RF028</v>
      </c>
      <c r="B45" s="259" t="str">
        <f t="shared" si="0"/>
        <v>Spionage</v>
      </c>
      <c r="C45" s="260" t="str">
        <f t="shared" si="1"/>
        <v/>
      </c>
      <c r="D45" s="261"/>
      <c r="E45" s="263" t="s">
        <v>718</v>
      </c>
      <c r="F45" s="263" t="s">
        <v>719</v>
      </c>
      <c r="G45" s="256"/>
      <c r="H45" s="256"/>
      <c r="I45" s="257"/>
      <c r="J45" s="257"/>
      <c r="K45" s="257"/>
    </row>
    <row r="46" spans="1:11" x14ac:dyDescent="0.25">
      <c r="A46" s="206" t="str">
        <f t="shared" si="2"/>
        <v>RF029</v>
      </c>
      <c r="B46" s="207" t="str">
        <f t="shared" si="0"/>
        <v>kein Remotezugriff auf System möglich</v>
      </c>
      <c r="C46" s="208" t="str">
        <f t="shared" si="1"/>
        <v/>
      </c>
      <c r="D46" s="209"/>
      <c r="E46" s="214" t="s">
        <v>727</v>
      </c>
      <c r="F46" s="214" t="s">
        <v>728</v>
      </c>
      <c r="G46" s="204"/>
      <c r="H46" s="204"/>
      <c r="I46" s="205"/>
      <c r="J46" s="205"/>
      <c r="K46" s="205"/>
    </row>
    <row r="47" spans="1:11" x14ac:dyDescent="0.25">
      <c r="A47" s="206" t="str">
        <f t="shared" si="2"/>
        <v>RF030</v>
      </c>
      <c r="B47" s="207" t="str">
        <f t="shared" ref="B47:B48" si="5">IF(E47="","",IF(Language_chosen=0,E47,F47))</f>
        <v>M2M Kommunikation nicht möglich</v>
      </c>
      <c r="C47" s="208" t="str">
        <f t="shared" ref="C47:C48" si="6">IF(G47="","",IF(Language_chosen=0,G47,H47))</f>
        <v/>
      </c>
      <c r="D47" s="209"/>
      <c r="E47" s="263" t="s">
        <v>730</v>
      </c>
      <c r="F47" s="263" t="s">
        <v>731</v>
      </c>
      <c r="G47" s="204"/>
      <c r="H47" s="204"/>
      <c r="I47" s="205"/>
      <c r="J47" s="205"/>
      <c r="K47" s="205"/>
    </row>
    <row r="48" spans="1:11" x14ac:dyDescent="0.25">
      <c r="A48" s="206" t="str">
        <f t="shared" si="2"/>
        <v>RF031</v>
      </c>
      <c r="B48" s="207" t="str">
        <f t="shared" si="5"/>
        <v>Drittpersonen haben physischen Zutritt</v>
      </c>
      <c r="C48" s="208" t="str">
        <f t="shared" si="6"/>
        <v/>
      </c>
      <c r="D48" s="209"/>
      <c r="E48" s="214" t="s">
        <v>760</v>
      </c>
      <c r="F48" s="214" t="s">
        <v>761</v>
      </c>
      <c r="G48" s="204"/>
      <c r="H48" s="204"/>
      <c r="I48" s="205"/>
      <c r="J48" s="205"/>
      <c r="K48" s="205"/>
    </row>
    <row r="49" spans="1:11" x14ac:dyDescent="0.25">
      <c r="A49" s="206" t="str">
        <f t="shared" si="2"/>
        <v>RF032</v>
      </c>
      <c r="B49" s="207" t="str">
        <f t="shared" si="0"/>
        <v/>
      </c>
      <c r="C49" s="208" t="str">
        <f t="shared" si="1"/>
        <v/>
      </c>
      <c r="D49" s="209"/>
      <c r="E49" s="214"/>
      <c r="F49" s="214"/>
      <c r="G49" s="204"/>
      <c r="H49" s="204"/>
      <c r="I49" s="205"/>
      <c r="J49" s="205"/>
      <c r="K49" s="205"/>
    </row>
    <row r="50" spans="1:11" x14ac:dyDescent="0.25">
      <c r="A50" s="206" t="str">
        <f t="shared" si="2"/>
        <v>RF033</v>
      </c>
      <c r="B50" s="207" t="str">
        <f t="shared" si="0"/>
        <v/>
      </c>
      <c r="C50" s="208" t="str">
        <f t="shared" si="1"/>
        <v/>
      </c>
      <c r="D50" s="209"/>
      <c r="E50" s="214"/>
      <c r="F50" s="214"/>
      <c r="G50" s="204"/>
      <c r="H50" s="204"/>
      <c r="I50" s="205"/>
      <c r="J50" s="205"/>
      <c r="K50" s="205"/>
    </row>
    <row r="51" spans="1:11" x14ac:dyDescent="0.25">
      <c r="A51" s="206" t="str">
        <f t="shared" si="2"/>
        <v>RF034</v>
      </c>
      <c r="B51" s="207" t="str">
        <f t="shared" ref="B51:B52" si="7">IF(E51="","",IF(Language_chosen=0,E51,F51))</f>
        <v/>
      </c>
      <c r="C51" s="208" t="str">
        <f t="shared" ref="C51:C52" si="8">IF(G51="","",IF(Language_chosen=0,G51,H51))</f>
        <v/>
      </c>
      <c r="D51" s="209"/>
      <c r="E51" s="214"/>
      <c r="F51" s="214"/>
      <c r="G51" s="204"/>
      <c r="H51" s="204"/>
      <c r="I51" s="205"/>
      <c r="J51" s="205"/>
      <c r="K51" s="205"/>
    </row>
    <row r="52" spans="1:11" x14ac:dyDescent="0.25">
      <c r="A52" s="206" t="str">
        <f t="shared" si="2"/>
        <v>RF035</v>
      </c>
      <c r="B52" s="207" t="str">
        <f t="shared" si="7"/>
        <v/>
      </c>
      <c r="C52" s="208" t="str">
        <f t="shared" si="8"/>
        <v/>
      </c>
      <c r="D52" s="209"/>
      <c r="E52" s="214"/>
      <c r="F52" s="214"/>
      <c r="G52" s="204"/>
      <c r="H52" s="204"/>
      <c r="I52" s="205"/>
      <c r="J52" s="205"/>
      <c r="K52" s="205"/>
    </row>
    <row r="53" spans="1:11" x14ac:dyDescent="0.25">
      <c r="A53" s="206" t="str">
        <f t="shared" si="2"/>
        <v>RF036</v>
      </c>
      <c r="B53" s="207" t="str">
        <f t="shared" si="0"/>
        <v/>
      </c>
      <c r="C53" s="208" t="str">
        <f t="shared" si="1"/>
        <v/>
      </c>
      <c r="D53" s="209"/>
      <c r="E53" s="214"/>
      <c r="F53" s="214"/>
      <c r="G53" s="204"/>
      <c r="H53" s="204"/>
      <c r="I53" s="205"/>
      <c r="J53" s="205"/>
      <c r="K53" s="205"/>
    </row>
    <row r="54" spans="1:11" x14ac:dyDescent="0.25">
      <c r="A54" s="206" t="str">
        <f t="shared" si="2"/>
        <v>RF037</v>
      </c>
      <c r="B54" s="207" t="str">
        <f t="shared" si="0"/>
        <v/>
      </c>
      <c r="C54" s="208" t="str">
        <f t="shared" si="1"/>
        <v/>
      </c>
      <c r="D54" s="209"/>
      <c r="E54" s="214"/>
      <c r="F54" s="214"/>
      <c r="G54" s="204"/>
      <c r="H54" s="204"/>
      <c r="I54" s="205"/>
      <c r="J54" s="205"/>
      <c r="K54" s="205"/>
    </row>
    <row r="55" spans="1:11" ht="15.75" thickBot="1" x14ac:dyDescent="0.3">
      <c r="A55" s="211" t="str">
        <f t="shared" si="2"/>
        <v>RF038</v>
      </c>
      <c r="B55" s="212" t="str">
        <f t="shared" si="0"/>
        <v/>
      </c>
      <c r="C55" s="213" t="str">
        <f t="shared" si="1"/>
        <v/>
      </c>
      <c r="D55" s="209"/>
      <c r="E55" s="214"/>
      <c r="F55" s="214"/>
      <c r="G55" s="204"/>
      <c r="H55" s="204"/>
      <c r="I55" s="205"/>
      <c r="J55" s="205"/>
      <c r="K55" s="205"/>
    </row>
    <row r="56" spans="1:11" x14ac:dyDescent="0.25">
      <c r="C56" s="22"/>
      <c r="D56" s="12" t="s">
        <v>171</v>
      </c>
      <c r="G56" s="22"/>
      <c r="H56" s="22"/>
    </row>
    <row r="57" spans="1:11" x14ac:dyDescent="0.25">
      <c r="G57" s="22"/>
      <c r="H57" s="22"/>
    </row>
    <row r="58" spans="1:11" x14ac:dyDescent="0.25">
      <c r="G58" s="22"/>
      <c r="H58" s="22"/>
    </row>
    <row r="59" spans="1:11" x14ac:dyDescent="0.25">
      <c r="G59" s="22"/>
      <c r="H59" s="22"/>
    </row>
    <row r="60" spans="1:11" x14ac:dyDescent="0.25">
      <c r="G60" s="22"/>
      <c r="H60" s="22"/>
    </row>
    <row r="61" spans="1:11" x14ac:dyDescent="0.25">
      <c r="G61" s="22"/>
      <c r="H61" s="22"/>
    </row>
    <row r="62" spans="1:11" x14ac:dyDescent="0.25">
      <c r="G62" s="22"/>
      <c r="H62" s="22"/>
    </row>
    <row r="63" spans="1:11" x14ac:dyDescent="0.25">
      <c r="G63" s="22"/>
      <c r="H63" s="22"/>
    </row>
    <row r="64" spans="1:11" x14ac:dyDescent="0.25">
      <c r="G64" s="22"/>
      <c r="H64" s="22"/>
    </row>
    <row r="65" spans="7:8" x14ac:dyDescent="0.25">
      <c r="G65" s="22"/>
      <c r="H65" s="22"/>
    </row>
    <row r="66" spans="7:8" x14ac:dyDescent="0.25">
      <c r="G66" s="22"/>
      <c r="H66" s="22"/>
    </row>
    <row r="67" spans="7:8" x14ac:dyDescent="0.25">
      <c r="G67" s="22"/>
      <c r="H67" s="22"/>
    </row>
    <row r="68" spans="7:8" x14ac:dyDescent="0.25">
      <c r="G68" s="22"/>
      <c r="H68" s="22"/>
    </row>
    <row r="69" spans="7:8" x14ac:dyDescent="0.25">
      <c r="G69" s="22"/>
      <c r="H69" s="22"/>
    </row>
    <row r="70" spans="7:8" x14ac:dyDescent="0.25">
      <c r="G70" s="22"/>
      <c r="H70" s="22"/>
    </row>
    <row r="71" spans="7:8" x14ac:dyDescent="0.25">
      <c r="G71" s="22"/>
      <c r="H71" s="22"/>
    </row>
  </sheetData>
  <sheetProtection sheet="1" formatCells="0" formatColumns="0" formatRows="0" insertColumns="0" insertRows="0" insertHyperlinks="0" deleteColumns="0" deleteRows="0" sort="0" autoFilter="0" pivotTables="0"/>
  <autoFilter ref="A17:C17"/>
  <conditionalFormatting sqref="A18:C42 A53:C55">
    <cfRule type="expression" dxfId="53" priority="11">
      <formula>MOD(ROW(),2)=1</formula>
    </cfRule>
    <cfRule type="expression" dxfId="52" priority="12">
      <formula>MOD(ROW(),2)=0</formula>
    </cfRule>
  </conditionalFormatting>
  <conditionalFormatting sqref="A51:C52">
    <cfRule type="expression" dxfId="51" priority="9">
      <formula>MOD(ROW(),2)=1</formula>
    </cfRule>
    <cfRule type="expression" dxfId="50" priority="10">
      <formula>MOD(ROW(),2)=0</formula>
    </cfRule>
  </conditionalFormatting>
  <conditionalFormatting sqref="A49:C50">
    <cfRule type="expression" dxfId="49" priority="7">
      <formula>MOD(ROW(),2)=1</formula>
    </cfRule>
    <cfRule type="expression" dxfId="48" priority="8">
      <formula>MOD(ROW(),2)=0</formula>
    </cfRule>
  </conditionalFormatting>
  <conditionalFormatting sqref="A47:C48">
    <cfRule type="expression" dxfId="47" priority="5">
      <formula>MOD(ROW(),2)=1</formula>
    </cfRule>
    <cfRule type="expression" dxfId="46" priority="6">
      <formula>MOD(ROW(),2)=0</formula>
    </cfRule>
  </conditionalFormatting>
  <conditionalFormatting sqref="A45:C46">
    <cfRule type="expression" dxfId="45" priority="3">
      <formula>MOD(ROW(),2)=1</formula>
    </cfRule>
    <cfRule type="expression" dxfId="44" priority="4">
      <formula>MOD(ROW(),2)=0</formula>
    </cfRule>
  </conditionalFormatting>
  <conditionalFormatting sqref="A43:C44">
    <cfRule type="expression" dxfId="43" priority="1">
      <formula>MOD(ROW(),2)=1</formula>
    </cfRule>
    <cfRule type="expression" dxfId="42" priority="2">
      <formula>MOD(ROW(),2)=0</formula>
    </cfRule>
  </conditionalFormatting>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8" tint="0.39997558519241921"/>
  </sheetPr>
  <dimension ref="A1:K61"/>
  <sheetViews>
    <sheetView topLeftCell="A15" zoomScaleNormal="100" workbookViewId="0">
      <pane ySplit="3" topLeftCell="A18" activePane="bottomLeft" state="frozen"/>
      <selection activeCell="D20" sqref="D20"/>
      <selection pane="bottomLeft" activeCell="A15" sqref="A15"/>
    </sheetView>
  </sheetViews>
  <sheetFormatPr baseColWidth="10" defaultRowHeight="15" outlineLevelRow="1" x14ac:dyDescent="0.25"/>
  <cols>
    <col min="1" max="1" width="10" customWidth="1"/>
    <col min="2" max="2" width="53.5703125" customWidth="1"/>
    <col min="3" max="3" width="67.140625" customWidth="1"/>
    <col min="4" max="4" width="17.28515625" customWidth="1"/>
    <col min="5" max="6" width="59.42578125" customWidth="1"/>
    <col min="7" max="8" width="71.5703125" customWidth="1"/>
  </cols>
  <sheetData>
    <row r="1" spans="1:6" ht="18.75" hidden="1" outlineLevel="1" thickBot="1" x14ac:dyDescent="0.3">
      <c r="A1" s="31" t="str">
        <f>VLOOKUP(1003,LANGUAGE_DB,2)</f>
        <v>Einstellungen</v>
      </c>
      <c r="B1" s="47"/>
    </row>
    <row r="2" spans="1:6" ht="15.75" hidden="1" outlineLevel="1" thickBot="1" x14ac:dyDescent="0.3">
      <c r="A2" s="48" t="str">
        <f>VLOOKUP(1004,LANGUAGE_DB,2)</f>
        <v>erster Eintrag in Zeile</v>
      </c>
      <c r="C2" s="46">
        <f>ROW(D17)+1</f>
        <v>18</v>
      </c>
    </row>
    <row r="3" spans="1:6" ht="15.75" hidden="1" outlineLevel="1" thickBot="1" x14ac:dyDescent="0.3">
      <c r="A3" s="48" t="str">
        <f>VLOOKUP(1005,LANGUAGE_DB,2)</f>
        <v>Kurznummer für Liste</v>
      </c>
      <c r="C3" s="46" t="s">
        <v>238</v>
      </c>
    </row>
    <row r="4" spans="1:6" s="128" customFormat="1" ht="15.75" hidden="1" outlineLevel="1" thickBot="1" x14ac:dyDescent="0.3">
      <c r="A4" s="48" t="str">
        <f>VLOOKUP(5065,LANGUAGE_DB,2)</f>
        <v>letzter  Eintrag in Zeile</v>
      </c>
      <c r="C4" s="46">
        <f>ROW(D58)-1</f>
        <v>57</v>
      </c>
    </row>
    <row r="5" spans="1:6" s="128" customFormat="1" hidden="1" outlineLevel="1" x14ac:dyDescent="0.25"/>
    <row r="6" spans="1:6" hidden="1" outlineLevel="1" x14ac:dyDescent="0.25">
      <c r="A6" s="48"/>
      <c r="C6" s="49"/>
    </row>
    <row r="7" spans="1:6" hidden="1" outlineLevel="1" x14ac:dyDescent="0.25">
      <c r="A7" s="48"/>
      <c r="C7" s="49"/>
    </row>
    <row r="8" spans="1:6" hidden="1" outlineLevel="1" x14ac:dyDescent="0.25">
      <c r="A8" s="48"/>
      <c r="C8" s="49"/>
    </row>
    <row r="9" spans="1:6" hidden="1" outlineLevel="1" x14ac:dyDescent="0.25">
      <c r="A9" s="48"/>
      <c r="C9" s="49"/>
    </row>
    <row r="10" spans="1:6" hidden="1" outlineLevel="1" x14ac:dyDescent="0.25">
      <c r="A10" s="48"/>
      <c r="C10" s="49"/>
    </row>
    <row r="11" spans="1:6" hidden="1" outlineLevel="1" x14ac:dyDescent="0.25">
      <c r="A11" s="48"/>
      <c r="C11" s="49"/>
    </row>
    <row r="12" spans="1:6" hidden="1" outlineLevel="1" x14ac:dyDescent="0.25">
      <c r="A12" s="48"/>
      <c r="C12" s="49"/>
    </row>
    <row r="13" spans="1:6" hidden="1" outlineLevel="1" x14ac:dyDescent="0.25">
      <c r="A13" s="48"/>
      <c r="C13" s="49"/>
    </row>
    <row r="14" spans="1:6" hidden="1" outlineLevel="1" x14ac:dyDescent="0.25">
      <c r="A14" s="48"/>
      <c r="C14" s="49"/>
    </row>
    <row r="15" spans="1:6" ht="18" collapsed="1" x14ac:dyDescent="0.25">
      <c r="A15" s="31" t="str">
        <f>VLOOKUP(1009,LANGUAGE_DB,2)</f>
        <v>potentielle Fehlerursache</v>
      </c>
      <c r="C15" s="49"/>
    </row>
    <row r="16" spans="1:6" ht="15.75" thickBot="1" x14ac:dyDescent="0.3">
      <c r="E16" s="24"/>
      <c r="F16" s="24"/>
    </row>
    <row r="17" spans="1:11" ht="31.5" customHeight="1" thickBot="1" x14ac:dyDescent="0.3">
      <c r="A17" s="25" t="str">
        <f>VLOOKUP(5004,LANGUAGE_DB,2)</f>
        <v>Referenz Nummer</v>
      </c>
      <c r="B17" s="26" t="str">
        <f t="shared" ref="B17:B57" si="0">IF(E17="","",IF(Language_chosen=0,E17,F17))</f>
        <v>potentielle Fehlerursache</v>
      </c>
      <c r="C17" s="25" t="str">
        <f t="shared" ref="C17:C57" si="1">IF(G17="","",IF(Language_chosen=0,G17,H17))</f>
        <v>Beschreibung</v>
      </c>
      <c r="D17" s="21" t="s">
        <v>104</v>
      </c>
      <c r="E17" s="21" t="s">
        <v>147</v>
      </c>
      <c r="F17" s="21" t="s">
        <v>210</v>
      </c>
      <c r="G17" s="21" t="s">
        <v>208</v>
      </c>
      <c r="H17" s="21" t="s">
        <v>209</v>
      </c>
      <c r="I17" s="21"/>
      <c r="J17" s="14"/>
      <c r="K17" s="14"/>
    </row>
    <row r="18" spans="1:11" x14ac:dyDescent="0.25">
      <c r="A18" s="276" t="str">
        <f>CONCATENATE($C$3,IF(LEN(ROW(A18)-$C$2+1)=1,"00",IF(LEN(ROW(A18)-$C$2+1)=2,"0","")),ROW(A18)-$C$2+1)</f>
        <v>CF001</v>
      </c>
      <c r="B18" s="252" t="str">
        <f t="shared" si="0"/>
        <v>Hackerangriff</v>
      </c>
      <c r="C18" s="253" t="str">
        <f t="shared" si="1"/>
        <v/>
      </c>
      <c r="D18" s="254"/>
      <c r="E18" s="256" t="s">
        <v>144</v>
      </c>
      <c r="F18" s="256" t="s">
        <v>145</v>
      </c>
      <c r="G18" s="256"/>
      <c r="H18" s="256" t="s">
        <v>103</v>
      </c>
      <c r="I18" s="257"/>
      <c r="J18" s="257"/>
      <c r="K18" s="257"/>
    </row>
    <row r="19" spans="1:11" x14ac:dyDescent="0.25">
      <c r="A19" s="277" t="str">
        <f t="shared" ref="A19:A57" si="2">CONCATENATE($C$3,IF(LEN(ROW(A19)-$C$2+1)=1,"00",IF(LEN(ROW(A19)-$C$2+1)=2,"0","")),ROW(A19)-$C$2+1)</f>
        <v>CF002</v>
      </c>
      <c r="B19" s="259" t="str">
        <f t="shared" si="0"/>
        <v>Sicherheitslücke infolge nicht eingespielter Updates</v>
      </c>
      <c r="C19" s="260" t="str">
        <f t="shared" si="1"/>
        <v/>
      </c>
      <c r="D19" s="257"/>
      <c r="E19" s="256" t="s">
        <v>12</v>
      </c>
      <c r="F19" s="256" t="s">
        <v>146</v>
      </c>
      <c r="G19" s="256"/>
      <c r="H19" s="256" t="s">
        <v>103</v>
      </c>
      <c r="I19" s="257"/>
      <c r="J19" s="257"/>
      <c r="K19" s="257"/>
    </row>
    <row r="20" spans="1:11" x14ac:dyDescent="0.25">
      <c r="A20" s="277" t="str">
        <f t="shared" si="2"/>
        <v>CF003</v>
      </c>
      <c r="B20" s="259" t="str">
        <f t="shared" si="0"/>
        <v>keine Datenredundanz</v>
      </c>
      <c r="C20" s="260" t="str">
        <f t="shared" si="1"/>
        <v/>
      </c>
      <c r="D20" s="261"/>
      <c r="E20" s="272" t="s">
        <v>148</v>
      </c>
      <c r="F20" s="256" t="s">
        <v>149</v>
      </c>
      <c r="G20" s="263"/>
      <c r="H20" s="263"/>
      <c r="I20" s="257"/>
      <c r="J20" s="257"/>
      <c r="K20" s="257"/>
    </row>
    <row r="21" spans="1:11" x14ac:dyDescent="0.25">
      <c r="A21" s="277" t="str">
        <f t="shared" si="2"/>
        <v>CF004</v>
      </c>
      <c r="B21" s="259" t="str">
        <f t="shared" si="0"/>
        <v>Hardware zu alt</v>
      </c>
      <c r="C21" s="260" t="str">
        <f t="shared" si="1"/>
        <v/>
      </c>
      <c r="D21" s="261"/>
      <c r="E21" s="272" t="s">
        <v>217</v>
      </c>
      <c r="F21" s="256" t="s">
        <v>218</v>
      </c>
      <c r="G21" s="263"/>
      <c r="H21" s="263"/>
      <c r="I21" s="257"/>
      <c r="J21" s="257"/>
      <c r="K21" s="257"/>
    </row>
    <row r="22" spans="1:11" ht="30" x14ac:dyDescent="0.25">
      <c r="A22" s="277" t="str">
        <f t="shared" si="2"/>
        <v>CF005</v>
      </c>
      <c r="B22" s="259" t="str">
        <f t="shared" si="0"/>
        <v>Abhängigkeit von externer Stromversorgung</v>
      </c>
      <c r="C22" s="260" t="str">
        <f t="shared" si="1"/>
        <v>Eine Naturkatastrophe zum Beispiel bring das ganze System zum erliegen.</v>
      </c>
      <c r="D22" s="261"/>
      <c r="E22" s="278" t="s">
        <v>100</v>
      </c>
      <c r="F22" s="278" t="s">
        <v>733</v>
      </c>
      <c r="G22" s="256" t="s">
        <v>105</v>
      </c>
      <c r="H22" s="256" t="s">
        <v>103</v>
      </c>
      <c r="I22" s="257"/>
      <c r="J22" s="257"/>
      <c r="K22" s="257"/>
    </row>
    <row r="23" spans="1:11" ht="60" x14ac:dyDescent="0.25">
      <c r="A23" s="277" t="str">
        <f t="shared" si="2"/>
        <v>CF006</v>
      </c>
      <c r="B23" s="259" t="str">
        <f t="shared" si="0"/>
        <v>Fehlendes oder mangelhaftes Backup / Failover Verfahren</v>
      </c>
      <c r="C23" s="260" t="str">
        <f>IF(G23="","",IF(Language_chosen=0,G23,H23))</f>
        <v>Bei einem Fehler gibt es keine genügende Backup-Systeme vor Ort, welche die Funktionen übernehmen können. Die Verfügbarkeit und die Robustheit wurde nicht im Systemdesign berücksichtig oder die entsprechenden Fehlerarten wurden nicht angegangen.</v>
      </c>
      <c r="D23" s="261"/>
      <c r="E23" s="278" t="s">
        <v>101</v>
      </c>
      <c r="F23" s="278" t="s">
        <v>304</v>
      </c>
      <c r="G23" s="256" t="s">
        <v>102</v>
      </c>
      <c r="H23" s="256" t="s">
        <v>517</v>
      </c>
      <c r="I23" s="257"/>
      <c r="J23" s="257"/>
      <c r="K23" s="257"/>
    </row>
    <row r="24" spans="1:11" x14ac:dyDescent="0.25">
      <c r="A24" s="277" t="str">
        <f t="shared" si="2"/>
        <v>CF007</v>
      </c>
      <c r="B24" s="259" t="str">
        <f t="shared" si="0"/>
        <v>Abhängigkeit von externen Clouddiensten</v>
      </c>
      <c r="C24" s="260" t="str">
        <f t="shared" si="1"/>
        <v/>
      </c>
      <c r="D24" s="261"/>
      <c r="E24" s="278" t="s">
        <v>220</v>
      </c>
      <c r="F24" s="278" t="s">
        <v>103</v>
      </c>
      <c r="G24" s="263"/>
      <c r="H24" s="256" t="s">
        <v>103</v>
      </c>
      <c r="I24" s="257"/>
      <c r="J24" s="257"/>
      <c r="K24" s="257"/>
    </row>
    <row r="25" spans="1:11" x14ac:dyDescent="0.25">
      <c r="A25" s="277" t="str">
        <f t="shared" si="2"/>
        <v>CF008</v>
      </c>
      <c r="B25" s="259" t="str">
        <f t="shared" si="0"/>
        <v>Fehlendes Sicherheitsdesign durch den Hersteller</v>
      </c>
      <c r="C25" s="260" t="str">
        <f t="shared" si="1"/>
        <v/>
      </c>
      <c r="D25" s="261"/>
      <c r="E25" s="278" t="s">
        <v>221</v>
      </c>
      <c r="F25" s="278" t="s">
        <v>303</v>
      </c>
      <c r="G25" s="263"/>
      <c r="H25" s="263"/>
      <c r="I25" s="257"/>
      <c r="J25" s="257"/>
      <c r="K25" s="257"/>
    </row>
    <row r="26" spans="1:11" x14ac:dyDescent="0.25">
      <c r="A26" s="277" t="str">
        <f t="shared" si="2"/>
        <v>CF009</v>
      </c>
      <c r="B26" s="259" t="str">
        <f t="shared" si="0"/>
        <v>ungenügendes / altes Hardware-Equipment</v>
      </c>
      <c r="C26" s="260" t="str">
        <f t="shared" si="1"/>
        <v/>
      </c>
      <c r="D26" s="261"/>
      <c r="E26" s="278" t="s">
        <v>301</v>
      </c>
      <c r="F26" s="278" t="s">
        <v>302</v>
      </c>
      <c r="G26" s="263"/>
      <c r="H26" s="263"/>
      <c r="I26" s="257"/>
      <c r="J26" s="257"/>
      <c r="K26" s="257"/>
    </row>
    <row r="27" spans="1:11" x14ac:dyDescent="0.25">
      <c r="A27" s="277" t="str">
        <f t="shared" si="2"/>
        <v>CF010</v>
      </c>
      <c r="B27" s="259" t="str">
        <f t="shared" si="0"/>
        <v>fehlende/mangelhafte Transportsicherheit</v>
      </c>
      <c r="C27" s="260" t="str">
        <f t="shared" si="1"/>
        <v/>
      </c>
      <c r="D27" s="261"/>
      <c r="E27" s="278" t="s">
        <v>222</v>
      </c>
      <c r="F27" s="278" t="s">
        <v>300</v>
      </c>
      <c r="G27" s="263"/>
      <c r="H27" s="263"/>
      <c r="I27" s="257"/>
      <c r="J27" s="257"/>
      <c r="K27" s="257"/>
    </row>
    <row r="28" spans="1:11" x14ac:dyDescent="0.25">
      <c r="A28" s="277" t="str">
        <f t="shared" si="2"/>
        <v>CF011</v>
      </c>
      <c r="B28" s="259" t="str">
        <f t="shared" si="0"/>
        <v>Unfall bei Bauarbeiten</v>
      </c>
      <c r="C28" s="260" t="str">
        <f t="shared" si="1"/>
        <v/>
      </c>
      <c r="D28" s="261"/>
      <c r="E28" s="272" t="s">
        <v>247</v>
      </c>
      <c r="F28" s="279" t="s">
        <v>121</v>
      </c>
      <c r="G28" s="263"/>
      <c r="H28" s="263"/>
      <c r="I28" s="257"/>
      <c r="J28" s="257"/>
      <c r="K28" s="257"/>
    </row>
    <row r="29" spans="1:11" x14ac:dyDescent="0.25">
      <c r="A29" s="277" t="str">
        <f t="shared" si="2"/>
        <v>CF012</v>
      </c>
      <c r="B29" s="259" t="str">
        <f t="shared" si="0"/>
        <v>Vandalismus</v>
      </c>
      <c r="C29" s="260" t="str">
        <f t="shared" si="1"/>
        <v/>
      </c>
      <c r="D29" s="261"/>
      <c r="E29" s="272" t="s">
        <v>249</v>
      </c>
      <c r="F29" s="272" t="s">
        <v>250</v>
      </c>
      <c r="G29" s="263"/>
      <c r="H29" s="263"/>
      <c r="I29" s="257"/>
      <c r="J29" s="257"/>
      <c r="K29" s="257"/>
    </row>
    <row r="30" spans="1:11" x14ac:dyDescent="0.25">
      <c r="A30" s="277" t="str">
        <f t="shared" si="2"/>
        <v>CF013</v>
      </c>
      <c r="B30" s="259" t="str">
        <f t="shared" si="0"/>
        <v>Naturkatastrophe</v>
      </c>
      <c r="C30" s="260" t="str">
        <f t="shared" si="1"/>
        <v/>
      </c>
      <c r="D30" s="261"/>
      <c r="E30" s="272" t="s">
        <v>251</v>
      </c>
      <c r="F30" s="272" t="s">
        <v>252</v>
      </c>
      <c r="G30" s="263"/>
      <c r="H30" s="263"/>
      <c r="I30" s="257"/>
      <c r="J30" s="257"/>
      <c r="K30" s="257"/>
    </row>
    <row r="31" spans="1:11" x14ac:dyDescent="0.25">
      <c r="A31" s="277" t="str">
        <f t="shared" si="2"/>
        <v>CF014</v>
      </c>
      <c r="B31" s="259" t="str">
        <f t="shared" si="0"/>
        <v>böswillige Absichten</v>
      </c>
      <c r="C31" s="260" t="str">
        <f t="shared" si="1"/>
        <v/>
      </c>
      <c r="D31" s="261"/>
      <c r="E31" s="272" t="s">
        <v>298</v>
      </c>
      <c r="F31" s="272" t="s">
        <v>299</v>
      </c>
      <c r="G31" s="263"/>
      <c r="H31" s="263"/>
      <c r="I31" s="257"/>
      <c r="J31" s="257"/>
      <c r="K31" s="257"/>
    </row>
    <row r="32" spans="1:11" x14ac:dyDescent="0.25">
      <c r="A32" s="277" t="str">
        <f t="shared" si="2"/>
        <v>CF015</v>
      </c>
      <c r="B32" s="259" t="str">
        <f t="shared" si="0"/>
        <v>unsichere Passwörter / überall selbe Passwörter</v>
      </c>
      <c r="C32" s="260" t="str">
        <f t="shared" si="1"/>
        <v/>
      </c>
      <c r="D32" s="261"/>
      <c r="E32" s="272" t="s">
        <v>309</v>
      </c>
      <c r="F32" s="272" t="s">
        <v>310</v>
      </c>
      <c r="G32" s="263"/>
      <c r="H32" s="263"/>
      <c r="I32" s="257"/>
      <c r="J32" s="257"/>
      <c r="K32" s="257"/>
    </row>
    <row r="33" spans="1:11" x14ac:dyDescent="0.25">
      <c r="A33" s="277" t="str">
        <f t="shared" si="2"/>
        <v>CF016</v>
      </c>
      <c r="B33" s="259" t="str">
        <f t="shared" si="0"/>
        <v>nicht böswilliges menschliches Fehlverhalten</v>
      </c>
      <c r="C33" s="260" t="str">
        <f t="shared" si="1"/>
        <v/>
      </c>
      <c r="D33" s="261"/>
      <c r="E33" s="272" t="s">
        <v>311</v>
      </c>
      <c r="F33" s="272" t="s">
        <v>312</v>
      </c>
      <c r="G33" s="263"/>
      <c r="H33" s="263"/>
      <c r="I33" s="257"/>
      <c r="J33" s="257"/>
      <c r="K33" s="257"/>
    </row>
    <row r="34" spans="1:11" x14ac:dyDescent="0.25">
      <c r="A34" s="277" t="str">
        <f t="shared" si="2"/>
        <v>CF017</v>
      </c>
      <c r="B34" s="259" t="str">
        <f t="shared" si="0"/>
        <v>unprofessionelle Installation</v>
      </c>
      <c r="C34" s="260" t="str">
        <f t="shared" si="1"/>
        <v/>
      </c>
      <c r="D34" s="261"/>
      <c r="E34" s="272" t="s">
        <v>315</v>
      </c>
      <c r="F34" s="272" t="s">
        <v>316</v>
      </c>
      <c r="G34" s="263"/>
      <c r="H34" s="263"/>
      <c r="I34" s="257"/>
      <c r="J34" s="257"/>
      <c r="K34" s="257"/>
    </row>
    <row r="35" spans="1:11" x14ac:dyDescent="0.25">
      <c r="A35" s="277" t="str">
        <f t="shared" si="2"/>
        <v>CF018</v>
      </c>
      <c r="B35" s="259" t="str">
        <f t="shared" si="0"/>
        <v>zufälliger Ausfall (Ausfallrate)</v>
      </c>
      <c r="C35" s="260" t="str">
        <f t="shared" si="1"/>
        <v/>
      </c>
      <c r="D35" s="261"/>
      <c r="E35" s="272" t="s">
        <v>594</v>
      </c>
      <c r="F35" s="272" t="s">
        <v>593</v>
      </c>
      <c r="G35" s="263"/>
      <c r="H35" s="263"/>
      <c r="I35" s="257"/>
      <c r="J35" s="257"/>
      <c r="K35" s="257"/>
    </row>
    <row r="36" spans="1:11" x14ac:dyDescent="0.25">
      <c r="A36" s="277" t="str">
        <f t="shared" si="2"/>
        <v>CF019</v>
      </c>
      <c r="B36" s="259" t="str">
        <f t="shared" si="0"/>
        <v>Softwarefehler</v>
      </c>
      <c r="C36" s="260" t="str">
        <f t="shared" si="1"/>
        <v/>
      </c>
      <c r="D36" s="261"/>
      <c r="E36" s="272" t="s">
        <v>602</v>
      </c>
      <c r="F36" s="272" t="s">
        <v>603</v>
      </c>
      <c r="G36" s="263"/>
      <c r="H36" s="263"/>
      <c r="I36" s="257"/>
      <c r="J36" s="257"/>
      <c r="K36" s="257"/>
    </row>
    <row r="37" spans="1:11" x14ac:dyDescent="0.25">
      <c r="A37" s="277" t="str">
        <f t="shared" si="2"/>
        <v>CF020</v>
      </c>
      <c r="B37" s="259" t="str">
        <f t="shared" si="0"/>
        <v>Diebstahl</v>
      </c>
      <c r="C37" s="260" t="str">
        <f t="shared" si="1"/>
        <v/>
      </c>
      <c r="D37" s="261"/>
      <c r="E37" s="272" t="s">
        <v>116</v>
      </c>
      <c r="F37" s="280" t="s">
        <v>613</v>
      </c>
      <c r="G37" s="263"/>
      <c r="H37" s="263"/>
      <c r="I37" s="257"/>
      <c r="J37" s="257"/>
      <c r="K37" s="257"/>
    </row>
    <row r="38" spans="1:11" x14ac:dyDescent="0.25">
      <c r="A38" s="277" t="str">
        <f t="shared" si="2"/>
        <v>CF021</v>
      </c>
      <c r="B38" s="259" t="str">
        <f t="shared" si="0"/>
        <v>Unvorsichtigkeit</v>
      </c>
      <c r="C38" s="260" t="str">
        <f t="shared" si="1"/>
        <v/>
      </c>
      <c r="D38" s="261"/>
      <c r="E38" s="272" t="s">
        <v>615</v>
      </c>
      <c r="F38" s="272" t="s">
        <v>614</v>
      </c>
      <c r="G38" s="263"/>
      <c r="H38" s="263"/>
      <c r="I38" s="257"/>
      <c r="J38" s="257"/>
      <c r="K38" s="257"/>
    </row>
    <row r="39" spans="1:11" x14ac:dyDescent="0.25">
      <c r="A39" s="277" t="str">
        <f t="shared" si="2"/>
        <v>CF022</v>
      </c>
      <c r="B39" s="259" t="str">
        <f t="shared" ref="B39:B43" si="3">IF(E39="","",IF(Language_chosen=0,E39,F39))</f>
        <v>Social Engineering Attacke</v>
      </c>
      <c r="C39" s="260" t="str">
        <f t="shared" ref="C39:C43" si="4">IF(G39="","",IF(Language_chosen=0,G39,H39))</f>
        <v/>
      </c>
      <c r="D39" s="261"/>
      <c r="E39" s="272" t="s">
        <v>110</v>
      </c>
      <c r="F39" s="272" t="s">
        <v>631</v>
      </c>
      <c r="G39" s="263"/>
      <c r="H39" s="263"/>
      <c r="I39" s="257"/>
      <c r="J39" s="257"/>
      <c r="K39" s="257"/>
    </row>
    <row r="40" spans="1:11" x14ac:dyDescent="0.25">
      <c r="A40" s="277" t="str">
        <f t="shared" si="2"/>
        <v>CF023</v>
      </c>
      <c r="B40" s="259" t="str">
        <f t="shared" si="3"/>
        <v>Abhängigkeit von Drittanbieter</v>
      </c>
      <c r="C40" s="260" t="str">
        <f t="shared" si="4"/>
        <v/>
      </c>
      <c r="D40" s="261"/>
      <c r="E40" s="272" t="s">
        <v>640</v>
      </c>
      <c r="F40" s="272" t="s">
        <v>641</v>
      </c>
      <c r="G40" s="263"/>
      <c r="H40" s="263"/>
      <c r="I40" s="257"/>
      <c r="J40" s="257"/>
      <c r="K40" s="257"/>
    </row>
    <row r="41" spans="1:11" x14ac:dyDescent="0.25">
      <c r="A41" s="277" t="str">
        <f t="shared" si="2"/>
        <v>CF024</v>
      </c>
      <c r="B41" s="259" t="str">
        <f t="shared" si="3"/>
        <v>leicht zu erratende Passwörter</v>
      </c>
      <c r="C41" s="260" t="str">
        <f t="shared" si="4"/>
        <v/>
      </c>
      <c r="D41" s="261"/>
      <c r="E41" s="272" t="s">
        <v>655</v>
      </c>
      <c r="F41" s="272" t="s">
        <v>656</v>
      </c>
      <c r="G41" s="263"/>
      <c r="H41" s="263"/>
      <c r="I41" s="257"/>
      <c r="J41" s="257"/>
      <c r="K41" s="257"/>
    </row>
    <row r="42" spans="1:11" x14ac:dyDescent="0.25">
      <c r="A42" s="277" t="str">
        <f t="shared" si="2"/>
        <v>CF025</v>
      </c>
      <c r="B42" s="259" t="str">
        <f t="shared" si="3"/>
        <v>Verwendung von globalen Passwörtern</v>
      </c>
      <c r="C42" s="260" t="str">
        <f t="shared" si="4"/>
        <v/>
      </c>
      <c r="D42" s="261"/>
      <c r="E42" s="272" t="s">
        <v>657</v>
      </c>
      <c r="F42" s="272" t="s">
        <v>658</v>
      </c>
      <c r="G42" s="263"/>
      <c r="H42" s="263"/>
      <c r="I42" s="257"/>
      <c r="J42" s="257"/>
      <c r="K42" s="257"/>
    </row>
    <row r="43" spans="1:11" x14ac:dyDescent="0.25">
      <c r="A43" s="277" t="str">
        <f t="shared" si="2"/>
        <v>CF026</v>
      </c>
      <c r="B43" s="259" t="str">
        <f t="shared" si="3"/>
        <v>Opfer von Phishing</v>
      </c>
      <c r="C43" s="260" t="str">
        <f t="shared" si="4"/>
        <v/>
      </c>
      <c r="D43" s="261"/>
      <c r="E43" s="271" t="s">
        <v>669</v>
      </c>
      <c r="F43" s="271" t="s">
        <v>672</v>
      </c>
      <c r="G43" s="263"/>
      <c r="H43" s="263"/>
      <c r="I43" s="257"/>
      <c r="J43" s="257"/>
      <c r="K43" s="257"/>
    </row>
    <row r="44" spans="1:11" x14ac:dyDescent="0.25">
      <c r="A44" s="277" t="str">
        <f t="shared" si="2"/>
        <v>CF027</v>
      </c>
      <c r="B44" s="259" t="str">
        <f t="shared" si="0"/>
        <v>Opfer von Malware/Viren/Trojaner</v>
      </c>
      <c r="C44" s="260" t="str">
        <f t="shared" si="1"/>
        <v/>
      </c>
      <c r="D44" s="261"/>
      <c r="E44" s="271" t="s">
        <v>670</v>
      </c>
      <c r="F44" s="271" t="s">
        <v>671</v>
      </c>
      <c r="G44" s="263"/>
      <c r="H44" s="263"/>
      <c r="I44" s="257"/>
      <c r="J44" s="257"/>
      <c r="K44" s="257"/>
    </row>
    <row r="45" spans="1:11" x14ac:dyDescent="0.25">
      <c r="A45" s="277" t="str">
        <f t="shared" si="2"/>
        <v>CF028</v>
      </c>
      <c r="B45" s="259" t="str">
        <f t="shared" si="0"/>
        <v>Mobile Applikation mit zu vielen Rechten</v>
      </c>
      <c r="C45" s="260" t="str">
        <f t="shared" si="1"/>
        <v/>
      </c>
      <c r="D45" s="261"/>
      <c r="E45" s="272" t="s">
        <v>697</v>
      </c>
      <c r="F45" s="272" t="s">
        <v>698</v>
      </c>
      <c r="G45" s="263"/>
      <c r="H45" s="263"/>
      <c r="I45" s="257"/>
      <c r="J45" s="257"/>
      <c r="K45" s="257"/>
    </row>
    <row r="46" spans="1:11" x14ac:dyDescent="0.25">
      <c r="A46" s="215" t="str">
        <f t="shared" si="2"/>
        <v>CF029</v>
      </c>
      <c r="B46" s="207" t="str">
        <f t="shared" si="0"/>
        <v>ungenügende Authentifizierung</v>
      </c>
      <c r="C46" s="208" t="str">
        <f t="shared" si="1"/>
        <v/>
      </c>
      <c r="D46" s="209"/>
      <c r="E46" s="216" t="s">
        <v>714</v>
      </c>
      <c r="F46" s="216" t="s">
        <v>715</v>
      </c>
      <c r="G46" s="210"/>
      <c r="H46" s="210"/>
      <c r="I46" s="205"/>
      <c r="J46" s="205"/>
      <c r="K46" s="205"/>
    </row>
    <row r="47" spans="1:11" x14ac:dyDescent="0.25">
      <c r="A47" s="215" t="str">
        <f t="shared" si="2"/>
        <v>CF030</v>
      </c>
      <c r="B47" s="207" t="str">
        <f t="shared" si="0"/>
        <v>Daten nicht verschlüsselt</v>
      </c>
      <c r="C47" s="208" t="str">
        <f t="shared" si="1"/>
        <v/>
      </c>
      <c r="D47" s="209"/>
      <c r="E47" s="216" t="s">
        <v>702</v>
      </c>
      <c r="F47" s="216" t="s">
        <v>703</v>
      </c>
      <c r="G47" s="210"/>
      <c r="H47" s="210"/>
      <c r="I47" s="205"/>
      <c r="J47" s="205"/>
      <c r="K47" s="205"/>
    </row>
    <row r="48" spans="1:11" x14ac:dyDescent="0.25">
      <c r="A48" s="215" t="str">
        <f t="shared" si="2"/>
        <v>CF031</v>
      </c>
      <c r="B48" s="207" t="str">
        <f t="shared" si="0"/>
        <v>unsichere Netzwerk-Services</v>
      </c>
      <c r="C48" s="208" t="str">
        <f t="shared" si="1"/>
        <v/>
      </c>
      <c r="D48" s="209"/>
      <c r="E48" s="216" t="s">
        <v>720</v>
      </c>
      <c r="F48" s="216" t="s">
        <v>721</v>
      </c>
      <c r="G48" s="210"/>
      <c r="H48" s="210"/>
      <c r="I48" s="205"/>
      <c r="J48" s="205"/>
      <c r="K48" s="205"/>
    </row>
    <row r="49" spans="1:11" x14ac:dyDescent="0.25">
      <c r="A49" s="215" t="str">
        <f t="shared" si="2"/>
        <v>CF032</v>
      </c>
      <c r="B49" s="207" t="str">
        <f t="shared" ref="B49:B52" si="5">IF(E49="","",IF(Language_chosen=0,E49,F49))</f>
        <v>fehlende USV</v>
      </c>
      <c r="C49" s="208" t="str">
        <f t="shared" ref="C49:C52" si="6">IF(G49="","",IF(Language_chosen=0,G49,H49))</f>
        <v/>
      </c>
      <c r="D49" s="209"/>
      <c r="E49" s="216" t="s">
        <v>724</v>
      </c>
      <c r="F49" s="216" t="s">
        <v>724</v>
      </c>
      <c r="G49" s="210"/>
      <c r="H49" s="210"/>
      <c r="I49" s="205"/>
      <c r="J49" s="205"/>
      <c r="K49" s="205"/>
    </row>
    <row r="50" spans="1:11" x14ac:dyDescent="0.25">
      <c r="A50" s="215" t="str">
        <f t="shared" si="2"/>
        <v>CF033</v>
      </c>
      <c r="B50" s="207" t="str">
        <f t="shared" si="5"/>
        <v>fehlende Redundanz</v>
      </c>
      <c r="C50" s="208" t="str">
        <f t="shared" si="6"/>
        <v/>
      </c>
      <c r="D50" s="209"/>
      <c r="E50" s="216" t="s">
        <v>725</v>
      </c>
      <c r="F50" s="216" t="s">
        <v>726</v>
      </c>
      <c r="G50" s="210"/>
      <c r="H50" s="210"/>
      <c r="I50" s="205"/>
      <c r="J50" s="205"/>
      <c r="K50" s="205"/>
    </row>
    <row r="51" spans="1:11" x14ac:dyDescent="0.25">
      <c r="A51" s="215" t="str">
        <f t="shared" si="2"/>
        <v>CF034</v>
      </c>
      <c r="B51" s="207" t="str">
        <f t="shared" si="5"/>
        <v>Drittanbieter Opfer von Cybercrime</v>
      </c>
      <c r="C51" s="208" t="str">
        <f t="shared" si="6"/>
        <v/>
      </c>
      <c r="D51" s="209"/>
      <c r="E51" s="216" t="s">
        <v>734</v>
      </c>
      <c r="F51" s="216" t="s">
        <v>735</v>
      </c>
      <c r="G51" s="210"/>
      <c r="H51" s="210"/>
      <c r="I51" s="205"/>
      <c r="J51" s="205"/>
      <c r="K51" s="205"/>
    </row>
    <row r="52" spans="1:11" x14ac:dyDescent="0.25">
      <c r="A52" s="215" t="str">
        <f t="shared" si="2"/>
        <v>CF035</v>
      </c>
      <c r="B52" s="207" t="str">
        <f t="shared" si="5"/>
        <v>möglicher Remotezugang</v>
      </c>
      <c r="C52" s="208" t="str">
        <f t="shared" si="6"/>
        <v/>
      </c>
      <c r="D52" s="209"/>
      <c r="E52" s="216" t="s">
        <v>757</v>
      </c>
      <c r="F52" s="216" t="s">
        <v>758</v>
      </c>
      <c r="G52" s="210"/>
      <c r="H52" s="210"/>
      <c r="I52" s="205"/>
      <c r="J52" s="205"/>
      <c r="K52" s="205"/>
    </row>
    <row r="53" spans="1:11" x14ac:dyDescent="0.25">
      <c r="A53" s="215" t="str">
        <f t="shared" si="2"/>
        <v>CF036</v>
      </c>
      <c r="B53" s="207" t="str">
        <f t="shared" si="0"/>
        <v>Nutzung Admin Account wo nicht notwendig</v>
      </c>
      <c r="C53" s="208" t="str">
        <f t="shared" si="1"/>
        <v/>
      </c>
      <c r="D53" s="209"/>
      <c r="E53" s="216" t="s">
        <v>771</v>
      </c>
      <c r="F53" s="216" t="s">
        <v>763</v>
      </c>
      <c r="G53" s="210"/>
      <c r="H53" s="210"/>
      <c r="I53" s="205"/>
      <c r="J53" s="205"/>
      <c r="K53" s="205"/>
    </row>
    <row r="54" spans="1:11" x14ac:dyDescent="0.25">
      <c r="A54" s="215" t="str">
        <f t="shared" si="2"/>
        <v>CF037</v>
      </c>
      <c r="B54" s="207" t="str">
        <f t="shared" ref="B54" si="7">IF(E54="","",IF(Language_chosen=0,E54,F54))</f>
        <v/>
      </c>
      <c r="C54" s="208" t="str">
        <f t="shared" ref="C54" si="8">IF(G54="","",IF(Language_chosen=0,G54,H54))</f>
        <v/>
      </c>
      <c r="D54" s="209"/>
      <c r="E54" s="216"/>
      <c r="F54" s="216"/>
      <c r="G54" s="210"/>
      <c r="H54" s="210"/>
      <c r="I54" s="205"/>
      <c r="J54" s="205"/>
      <c r="K54" s="205"/>
    </row>
    <row r="55" spans="1:11" x14ac:dyDescent="0.25">
      <c r="A55" s="215" t="str">
        <f t="shared" si="2"/>
        <v>CF038</v>
      </c>
      <c r="B55" s="207" t="str">
        <f t="shared" ref="B55" si="9">IF(E55="","",IF(Language_chosen=0,E55,F55))</f>
        <v/>
      </c>
      <c r="C55" s="208" t="str">
        <f t="shared" ref="C55" si="10">IF(G55="","",IF(Language_chosen=0,G55,H55))</f>
        <v/>
      </c>
      <c r="D55" s="209"/>
      <c r="E55" s="216"/>
      <c r="F55" s="216"/>
      <c r="G55" s="210"/>
      <c r="H55" s="210"/>
      <c r="I55" s="205"/>
      <c r="J55" s="205"/>
      <c r="K55" s="205"/>
    </row>
    <row r="56" spans="1:11" x14ac:dyDescent="0.25">
      <c r="A56" s="215" t="str">
        <f t="shared" si="2"/>
        <v>CF039</v>
      </c>
      <c r="B56" s="207" t="str">
        <f t="shared" si="0"/>
        <v/>
      </c>
      <c r="C56" s="208" t="str">
        <f t="shared" si="1"/>
        <v/>
      </c>
      <c r="D56" s="209"/>
      <c r="E56" s="216"/>
      <c r="F56" s="216"/>
      <c r="G56" s="210"/>
      <c r="H56" s="210"/>
      <c r="I56" s="205"/>
      <c r="J56" s="205"/>
      <c r="K56" s="205"/>
    </row>
    <row r="57" spans="1:11" ht="15.75" thickBot="1" x14ac:dyDescent="0.3">
      <c r="A57" s="217" t="str">
        <f t="shared" si="2"/>
        <v>CF040</v>
      </c>
      <c r="B57" s="212" t="str">
        <f t="shared" si="0"/>
        <v/>
      </c>
      <c r="C57" s="213" t="str">
        <f t="shared" si="1"/>
        <v/>
      </c>
      <c r="D57" s="209"/>
      <c r="E57" s="204"/>
      <c r="F57" s="204"/>
      <c r="G57" s="204"/>
      <c r="H57" s="204"/>
      <c r="I57" s="205"/>
      <c r="J57" s="205"/>
      <c r="K57" s="205"/>
    </row>
    <row r="58" spans="1:11" x14ac:dyDescent="0.25">
      <c r="A58" s="205"/>
      <c r="B58" s="205"/>
      <c r="C58" s="205"/>
      <c r="D58" s="205" t="s">
        <v>171</v>
      </c>
      <c r="E58" s="205"/>
      <c r="F58" s="205"/>
      <c r="G58" s="205"/>
      <c r="H58" s="205"/>
      <c r="I58" s="205"/>
      <c r="J58" s="205"/>
      <c r="K58" s="205"/>
    </row>
    <row r="59" spans="1:11" x14ac:dyDescent="0.25">
      <c r="A59" s="205"/>
      <c r="B59" s="205"/>
      <c r="C59" s="205"/>
      <c r="D59" s="205"/>
      <c r="E59" s="205"/>
      <c r="F59" s="205"/>
      <c r="G59" s="205"/>
      <c r="H59" s="205"/>
      <c r="I59" s="205"/>
      <c r="J59" s="205"/>
      <c r="K59" s="205"/>
    </row>
    <row r="60" spans="1:11" x14ac:dyDescent="0.25">
      <c r="A60" s="205"/>
      <c r="B60" s="205"/>
      <c r="C60" s="205"/>
      <c r="D60" s="205"/>
      <c r="E60" s="205"/>
      <c r="F60" s="205"/>
      <c r="G60" s="205"/>
      <c r="H60" s="205"/>
      <c r="I60" s="205"/>
      <c r="J60" s="205"/>
      <c r="K60" s="205"/>
    </row>
    <row r="61" spans="1:11" x14ac:dyDescent="0.25">
      <c r="A61" s="205"/>
      <c r="B61" s="205"/>
      <c r="C61" s="205"/>
      <c r="D61" s="205"/>
      <c r="E61" s="205"/>
      <c r="F61" s="205"/>
      <c r="G61" s="205"/>
      <c r="H61" s="205"/>
      <c r="I61" s="205"/>
      <c r="J61" s="205"/>
      <c r="K61" s="205"/>
    </row>
  </sheetData>
  <sheetProtection sheet="1" formatCells="0" formatColumns="0" formatRows="0" insertColumns="0" insertRows="0" insertHyperlinks="0" deleteColumns="0" deleteRows="0" sort="0" autoFilter="0" pivotTables="0"/>
  <autoFilter ref="A17:C17"/>
  <conditionalFormatting sqref="A18:C38 A44:C44 A56:C57">
    <cfRule type="expression" dxfId="41" priority="25">
      <formula>MOD(ROW(),2)=0</formula>
    </cfRule>
    <cfRule type="expression" priority="26">
      <formula>MOD(ROW(),2)=1</formula>
    </cfRule>
  </conditionalFormatting>
  <conditionalFormatting sqref="A39:C43">
    <cfRule type="expression" dxfId="40" priority="23">
      <formula>MOD(ROW(),2)=0</formula>
    </cfRule>
    <cfRule type="expression" priority="24">
      <formula>MOD(ROW(),2)=1</formula>
    </cfRule>
  </conditionalFormatting>
  <conditionalFormatting sqref="A55:C55">
    <cfRule type="expression" dxfId="39" priority="21">
      <formula>MOD(ROW(),2)=0</formula>
    </cfRule>
    <cfRule type="expression" priority="22">
      <formula>MOD(ROW(),2)=1</formula>
    </cfRule>
  </conditionalFormatting>
  <conditionalFormatting sqref="A54:C54">
    <cfRule type="expression" dxfId="38" priority="19">
      <formula>MOD(ROW(),2)=0</formula>
    </cfRule>
    <cfRule type="expression" priority="20">
      <formula>MOD(ROW(),2)=1</formula>
    </cfRule>
  </conditionalFormatting>
  <conditionalFormatting sqref="A53:C53">
    <cfRule type="expression" dxfId="37" priority="17">
      <formula>MOD(ROW(),2)=0</formula>
    </cfRule>
    <cfRule type="expression" priority="18">
      <formula>MOD(ROW(),2)=1</formula>
    </cfRule>
  </conditionalFormatting>
  <conditionalFormatting sqref="A52:C52">
    <cfRule type="expression" dxfId="36" priority="15">
      <formula>MOD(ROW(),2)=0</formula>
    </cfRule>
    <cfRule type="expression" priority="16">
      <formula>MOD(ROW(),2)=1</formula>
    </cfRule>
  </conditionalFormatting>
  <conditionalFormatting sqref="A51:C51">
    <cfRule type="expression" dxfId="35" priority="13">
      <formula>MOD(ROW(),2)=0</formula>
    </cfRule>
    <cfRule type="expression" priority="14">
      <formula>MOD(ROW(),2)=1</formula>
    </cfRule>
  </conditionalFormatting>
  <conditionalFormatting sqref="A50:C50">
    <cfRule type="expression" dxfId="34" priority="11">
      <formula>MOD(ROW(),2)=0</formula>
    </cfRule>
    <cfRule type="expression" priority="12">
      <formula>MOD(ROW(),2)=1</formula>
    </cfRule>
  </conditionalFormatting>
  <conditionalFormatting sqref="A49:C49">
    <cfRule type="expression" dxfId="33" priority="9">
      <formula>MOD(ROW(),2)=0</formula>
    </cfRule>
    <cfRule type="expression" priority="10">
      <formula>MOD(ROW(),2)=1</formula>
    </cfRule>
  </conditionalFormatting>
  <conditionalFormatting sqref="A48:C48">
    <cfRule type="expression" dxfId="32" priority="7">
      <formula>MOD(ROW(),2)=0</formula>
    </cfRule>
    <cfRule type="expression" priority="8">
      <formula>MOD(ROW(),2)=1</formula>
    </cfRule>
  </conditionalFormatting>
  <conditionalFormatting sqref="A47:C47">
    <cfRule type="expression" dxfId="31" priority="5">
      <formula>MOD(ROW(),2)=0</formula>
    </cfRule>
    <cfRule type="expression" priority="6">
      <formula>MOD(ROW(),2)=1</formula>
    </cfRule>
  </conditionalFormatting>
  <conditionalFormatting sqref="A46:C46">
    <cfRule type="expression" dxfId="30" priority="3">
      <formula>MOD(ROW(),2)=0</formula>
    </cfRule>
    <cfRule type="expression" priority="4">
      <formula>MOD(ROW(),2)=1</formula>
    </cfRule>
  </conditionalFormatting>
  <conditionalFormatting sqref="A45:C45">
    <cfRule type="expression" dxfId="29" priority="1">
      <formula>MOD(ROW(),2)=0</formula>
    </cfRule>
    <cfRule type="expression" priority="2">
      <formula>MOD(ROW(),2)=1</formula>
    </cfRule>
  </conditionalFormatting>
  <dataValidations count="1">
    <dataValidation allowBlank="1" showErrorMessage="1" errorTitle="wrong entry / flasche Eingabe" error="the number has to start with &quot;CE&quot;_x000a_Die Nummer muss mit &quot;CE&quot; beginnen" sqref="A18:A57"/>
  </dataValidations>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filterMode="1">
    <tabColor theme="6" tint="-0.249977111117893"/>
  </sheetPr>
  <dimension ref="A1:AK40"/>
  <sheetViews>
    <sheetView topLeftCell="A5" zoomScale="130" zoomScaleNormal="130" zoomScaleSheetLayoutView="115" zoomScalePageLayoutView="130" workbookViewId="0">
      <selection activeCell="C20" sqref="C20"/>
    </sheetView>
  </sheetViews>
  <sheetFormatPr baseColWidth="10" defaultColWidth="10.85546875" defaultRowHeight="12.75" outlineLevelRow="1" x14ac:dyDescent="0.25"/>
  <cols>
    <col min="1" max="1" width="5" style="1" customWidth="1"/>
    <col min="2" max="2" width="3.42578125" style="1" customWidth="1"/>
    <col min="3" max="3" width="26.42578125" style="1" customWidth="1"/>
    <col min="4" max="7" width="30.28515625" style="1" customWidth="1"/>
    <col min="8" max="8" width="13.7109375" style="1" customWidth="1"/>
    <col min="9" max="9" width="11.140625" style="1" customWidth="1"/>
    <col min="10" max="15" width="4" style="7" customWidth="1"/>
    <col min="16" max="16" width="2.42578125" style="1" customWidth="1"/>
    <col min="17" max="17" width="5" style="1" customWidth="1"/>
    <col min="18" max="18" width="8.28515625" style="1" customWidth="1"/>
    <col min="19" max="19" width="8" style="85" customWidth="1"/>
    <col min="20" max="20" width="3" style="114" bestFit="1" customWidth="1"/>
    <col min="21" max="21" width="8" style="85" customWidth="1"/>
    <col min="22" max="22" width="3" style="114" customWidth="1"/>
    <col min="23" max="23" width="9.140625" style="1" customWidth="1"/>
    <col min="24" max="24" width="3" style="1" bestFit="1" customWidth="1"/>
    <col min="25" max="25" width="9.28515625" style="1" customWidth="1"/>
    <col min="26" max="26" width="3" style="118" bestFit="1" customWidth="1"/>
    <col min="27" max="27" width="8" style="1" customWidth="1"/>
    <col min="28" max="28" width="3" style="118" bestFit="1" customWidth="1"/>
    <col min="29" max="29" width="5.7109375" style="93" bestFit="1" customWidth="1"/>
    <col min="30" max="30" width="8.7109375" style="1" customWidth="1"/>
    <col min="31" max="31" width="9.140625" style="1" customWidth="1"/>
    <col min="32" max="32" width="6.7109375" style="1" customWidth="1"/>
    <col min="33" max="33" width="8.7109375" style="1" customWidth="1"/>
    <col min="34" max="34" width="5.140625" style="1" bestFit="1" customWidth="1"/>
    <col min="35" max="35" width="6.7109375" style="1" customWidth="1"/>
    <col min="36" max="36" width="8.7109375" style="1" customWidth="1"/>
    <col min="37" max="37" width="5.140625" style="1" bestFit="1" customWidth="1"/>
    <col min="38" max="16384" width="10.85546875" style="1"/>
  </cols>
  <sheetData>
    <row r="1" spans="1:37" ht="15.75" hidden="1" customHeight="1" x14ac:dyDescent="0.3">
      <c r="C1" s="3" t="s">
        <v>5</v>
      </c>
      <c r="D1" s="4"/>
      <c r="E1" s="4"/>
      <c r="F1" s="4"/>
      <c r="G1" s="4"/>
      <c r="H1" s="4"/>
      <c r="I1" s="4"/>
      <c r="J1" s="6"/>
      <c r="K1" s="6"/>
      <c r="L1" s="6"/>
      <c r="M1" s="6"/>
      <c r="N1" s="6"/>
      <c r="O1" s="6"/>
    </row>
    <row r="2" spans="1:37" ht="12.75" hidden="1" customHeight="1" x14ac:dyDescent="0.25"/>
    <row r="3" spans="1:37" ht="12.75" hidden="1" customHeight="1" x14ac:dyDescent="0.25">
      <c r="C3" s="5" t="s">
        <v>7</v>
      </c>
      <c r="D3" s="299"/>
      <c r="E3" s="300"/>
      <c r="F3" s="63"/>
      <c r="G3" s="63"/>
      <c r="H3" s="64"/>
      <c r="I3" s="63"/>
    </row>
    <row r="4" spans="1:37" ht="12.75" hidden="1" customHeight="1" x14ac:dyDescent="0.25">
      <c r="C4" s="5" t="s">
        <v>6</v>
      </c>
      <c r="D4" s="299" t="s">
        <v>8</v>
      </c>
      <c r="E4" s="300"/>
      <c r="F4" s="63"/>
      <c r="G4" s="63"/>
      <c r="H4" s="64"/>
      <c r="I4" s="63"/>
    </row>
    <row r="5" spans="1:37" s="40" customFormat="1" ht="14.25" outlineLevel="1" thickBot="1" x14ac:dyDescent="0.3">
      <c r="A5" s="84" t="s">
        <v>341</v>
      </c>
      <c r="B5" s="84"/>
      <c r="C5" s="39"/>
      <c r="D5" s="39"/>
      <c r="E5" s="39"/>
      <c r="F5" s="39"/>
      <c r="G5" s="39"/>
      <c r="H5" s="39"/>
      <c r="I5" s="39"/>
      <c r="J5" s="30"/>
      <c r="K5" s="30"/>
      <c r="L5" s="30"/>
      <c r="M5" s="30"/>
      <c r="N5" s="30"/>
      <c r="O5" s="30"/>
      <c r="S5" s="86"/>
      <c r="T5" s="115"/>
      <c r="U5" s="86"/>
      <c r="V5" s="115"/>
      <c r="Z5" s="119"/>
      <c r="AB5" s="119"/>
      <c r="AC5" s="94"/>
    </row>
    <row r="6" spans="1:37" s="40" customFormat="1" ht="13.5" outlineLevel="1" thickBot="1" x14ac:dyDescent="0.3">
      <c r="A6" s="38" t="str">
        <f>VLOOKUP(6029,LANGUAGE_DB,2)</f>
        <v>0 = Nummer / 1 = Text</v>
      </c>
      <c r="B6" s="38"/>
      <c r="D6" s="29">
        <v>1</v>
      </c>
      <c r="E6" s="39"/>
      <c r="F6" s="39" t="str">
        <f>AF17</f>
        <v>Auftrittshäufigkeit before action</v>
      </c>
      <c r="H6" s="169" t="str">
        <f>LEFT(ADDRESS(1,COLUMN(AF17),4),1+(COLUMN(AF17)&gt;26))</f>
        <v>AF</v>
      </c>
      <c r="I6" s="39"/>
      <c r="J6" s="30"/>
      <c r="K6" s="30"/>
      <c r="L6" s="30"/>
      <c r="M6" s="30"/>
      <c r="N6" s="30"/>
      <c r="O6" s="30"/>
      <c r="P6" s="92"/>
      <c r="R6" s="92"/>
      <c r="S6" s="86"/>
      <c r="T6" s="115"/>
      <c r="U6" s="86"/>
      <c r="V6" s="115"/>
      <c r="Z6" s="119"/>
      <c r="AB6" s="119"/>
      <c r="AC6" s="94"/>
    </row>
    <row r="7" spans="1:37" s="40" customFormat="1" ht="13.5" outlineLevel="1" thickBot="1" x14ac:dyDescent="0.3">
      <c r="A7" s="38" t="str">
        <f>VLOOKUP(1004,LANGUAGE_DB,2)</f>
        <v>erster Eintrag in Zeile</v>
      </c>
      <c r="B7" s="38"/>
      <c r="D7" s="35">
        <f>ROW(Q17)+1</f>
        <v>18</v>
      </c>
      <c r="E7" s="39"/>
      <c r="F7" s="168" t="str">
        <f>AI17</f>
        <v>Auftrittshäufigkeit after action</v>
      </c>
      <c r="H7" s="169" t="str">
        <f>LEFT(ADDRESS(1,COLUMN(AI17),4),1+(COLUMN(AI17)&gt;26))</f>
        <v>AI</v>
      </c>
      <c r="I7" s="39"/>
      <c r="J7" s="30"/>
      <c r="K7" s="30"/>
      <c r="L7" s="30"/>
      <c r="M7" s="30"/>
      <c r="N7" s="30"/>
      <c r="O7" s="30"/>
      <c r="S7" s="86"/>
      <c r="T7" s="115"/>
      <c r="U7" s="86"/>
      <c r="V7" s="115"/>
      <c r="Z7" s="119"/>
      <c r="AB7" s="119"/>
      <c r="AC7" s="94"/>
    </row>
    <row r="8" spans="1:37" s="40" customFormat="1" ht="13.5" outlineLevel="1" thickBot="1" x14ac:dyDescent="0.3">
      <c r="A8" s="38" t="str">
        <f>VLOOKUP(7004,LANGUAGE_DB,2)</f>
        <v>letzter MEHARI Eintrag in Zeile</v>
      </c>
      <c r="B8" s="38"/>
      <c r="D8" s="35">
        <f>ROW(Q40)-1</f>
        <v>39</v>
      </c>
      <c r="E8" s="39"/>
      <c r="F8" s="40" t="s">
        <v>515</v>
      </c>
      <c r="G8" s="39"/>
      <c r="H8" s="169" t="str">
        <f>LEFT(ADDRESS(1,COLUMN(AH17),4),1+(COLUMN(AH17)&gt;26))</f>
        <v>AH</v>
      </c>
      <c r="I8" s="39"/>
      <c r="J8" s="30"/>
      <c r="K8" s="30"/>
      <c r="L8" s="30"/>
      <c r="M8" s="30"/>
      <c r="N8" s="30"/>
      <c r="O8" s="30"/>
      <c r="S8" s="86"/>
      <c r="T8" s="115"/>
      <c r="U8" s="86"/>
      <c r="V8" s="115"/>
      <c r="Z8" s="119"/>
      <c r="AB8" s="119"/>
      <c r="AC8" s="94"/>
    </row>
    <row r="9" spans="1:37" s="40" customFormat="1" ht="13.5" outlineLevel="1" thickBot="1" x14ac:dyDescent="0.3">
      <c r="A9" s="38" t="str">
        <f>VLOOKUP(6035,LANGUAGE_DB,2)</f>
        <v>Spalte für das Filtern der Relevanz</v>
      </c>
      <c r="B9" s="38"/>
      <c r="D9" s="35">
        <f>COLUMN(Q17)</f>
        <v>17</v>
      </c>
      <c r="E9" s="39"/>
      <c r="F9" s="40" t="s">
        <v>516</v>
      </c>
      <c r="G9" s="39"/>
      <c r="H9" s="169" t="str">
        <f>LEFT(ADDRESS(1,COLUMN(AK17),4),1+(COLUMN(AK17)&gt;26))</f>
        <v>AK</v>
      </c>
      <c r="I9" s="39"/>
      <c r="J9" s="30"/>
      <c r="K9" s="30"/>
      <c r="L9" s="30"/>
      <c r="M9" s="30"/>
      <c r="N9" s="30"/>
      <c r="O9" s="30"/>
      <c r="S9" s="86"/>
      <c r="T9" s="115"/>
      <c r="U9" s="86"/>
      <c r="V9" s="115"/>
      <c r="Z9" s="119"/>
      <c r="AB9" s="119"/>
      <c r="AC9" s="94"/>
    </row>
    <row r="10" spans="1:37" s="40" customFormat="1" ht="15" outlineLevel="1" x14ac:dyDescent="0.25">
      <c r="A10" s="36" t="str">
        <f>VLOOKUP(6027,LANGUAGE_DB,2)</f>
        <v>Titel FMEA-Formblatt</v>
      </c>
      <c r="B10" s="36"/>
      <c r="C10" s="27"/>
      <c r="D10" s="27"/>
      <c r="E10" s="27"/>
      <c r="F10" s="27"/>
      <c r="G10" s="27"/>
      <c r="H10" s="89"/>
      <c r="I10" s="27"/>
      <c r="J10" s="27"/>
      <c r="K10" s="27"/>
      <c r="L10" s="27"/>
      <c r="M10" s="27"/>
      <c r="N10" s="27"/>
      <c r="O10" s="27"/>
      <c r="S10" s="86"/>
      <c r="T10" s="115"/>
      <c r="U10" s="86"/>
      <c r="V10" s="115"/>
      <c r="Z10" s="119"/>
      <c r="AB10" s="119"/>
      <c r="AC10" s="94"/>
    </row>
    <row r="11" spans="1:37" s="40" customFormat="1" outlineLevel="1" x14ac:dyDescent="0.25">
      <c r="S11" s="86"/>
      <c r="T11" s="115"/>
      <c r="U11" s="86"/>
      <c r="V11" s="115"/>
      <c r="Z11" s="119"/>
      <c r="AB11" s="119"/>
      <c r="AC11" s="94"/>
    </row>
    <row r="12" spans="1:37" s="40" customFormat="1" outlineLevel="1" x14ac:dyDescent="0.25">
      <c r="A12" s="27">
        <v>6000</v>
      </c>
      <c r="B12" s="27">
        <v>6000</v>
      </c>
      <c r="C12" s="27">
        <v>7015</v>
      </c>
      <c r="D12" s="27">
        <v>7016</v>
      </c>
      <c r="E12" s="27">
        <v>7017</v>
      </c>
      <c r="F12" s="171">
        <v>7018</v>
      </c>
      <c r="G12" s="27">
        <v>7019</v>
      </c>
      <c r="H12" s="89">
        <v>7020</v>
      </c>
      <c r="I12" s="27">
        <v>7021</v>
      </c>
      <c r="J12" s="27">
        <v>6008</v>
      </c>
      <c r="K12" s="27">
        <v>6009</v>
      </c>
      <c r="L12" s="27">
        <v>6011</v>
      </c>
      <c r="M12" s="27">
        <v>6008</v>
      </c>
      <c r="N12" s="27">
        <v>6009</v>
      </c>
      <c r="O12" s="27">
        <v>6011</v>
      </c>
      <c r="Q12" s="40">
        <v>6031</v>
      </c>
      <c r="S12" s="86"/>
      <c r="T12" s="115"/>
      <c r="U12" s="86"/>
      <c r="V12" s="115"/>
      <c r="Z12" s="119"/>
      <c r="AB12" s="119"/>
      <c r="AC12" s="94"/>
      <c r="AH12" s="40">
        <v>6039</v>
      </c>
      <c r="AK12" s="40">
        <v>6039</v>
      </c>
    </row>
    <row r="13" spans="1:37" s="40" customFormat="1" outlineLevel="1" x14ac:dyDescent="0.25">
      <c r="A13" s="102"/>
      <c r="B13" s="102"/>
      <c r="C13" s="102"/>
      <c r="D13" s="102"/>
      <c r="E13" s="102"/>
      <c r="F13" s="102"/>
      <c r="G13" s="102"/>
      <c r="H13" s="102"/>
      <c r="I13" s="102"/>
      <c r="J13" s="102"/>
      <c r="K13" s="102"/>
      <c r="L13" s="102"/>
      <c r="M13" s="102"/>
      <c r="N13" s="102"/>
      <c r="O13" s="102"/>
      <c r="S13" s="86"/>
      <c r="T13" s="115"/>
      <c r="U13" s="86"/>
      <c r="V13" s="115"/>
      <c r="Z13" s="119"/>
      <c r="AB13" s="119"/>
      <c r="AC13" s="94"/>
    </row>
    <row r="14" spans="1:37" s="40" customFormat="1" outlineLevel="1" x14ac:dyDescent="0.25">
      <c r="A14" s="102"/>
      <c r="B14" s="102"/>
      <c r="C14" s="102"/>
      <c r="D14" s="102"/>
      <c r="E14" s="102"/>
      <c r="F14" s="102"/>
      <c r="G14" s="102"/>
      <c r="H14" s="102"/>
      <c r="I14" s="102"/>
      <c r="J14" s="102"/>
      <c r="K14" s="102"/>
      <c r="L14" s="102"/>
      <c r="M14" s="102"/>
      <c r="N14" s="102"/>
      <c r="O14" s="102"/>
      <c r="S14" s="86"/>
      <c r="T14" s="115"/>
      <c r="U14" s="86"/>
      <c r="V14" s="115"/>
      <c r="Z14" s="119"/>
      <c r="AB14" s="119"/>
      <c r="AC14" s="94"/>
    </row>
    <row r="15" spans="1:37" ht="24" customHeight="1" thickBot="1" x14ac:dyDescent="0.3">
      <c r="A15" s="31" t="s">
        <v>340</v>
      </c>
      <c r="B15" s="31"/>
      <c r="C15" s="27"/>
      <c r="D15" s="27"/>
      <c r="E15" s="27"/>
      <c r="F15" s="27"/>
      <c r="G15" s="27"/>
      <c r="H15" s="89"/>
      <c r="I15" s="27"/>
      <c r="J15" s="301"/>
      <c r="K15" s="302"/>
      <c r="L15" s="302"/>
      <c r="M15" s="301"/>
      <c r="N15" s="302"/>
      <c r="O15" s="302"/>
      <c r="Q15" s="1" t="s">
        <v>14</v>
      </c>
      <c r="AF15" s="164"/>
      <c r="AI15" s="164"/>
    </row>
    <row r="16" spans="1:37" ht="15.75" customHeight="1" thickBot="1" x14ac:dyDescent="0.3">
      <c r="J16" s="303" t="str">
        <f>VLOOKUP(7007,LANGUAGE_DB,2)</f>
        <v>vor Massnahmen</v>
      </c>
      <c r="K16" s="304"/>
      <c r="L16" s="305"/>
      <c r="M16" s="303" t="str">
        <f>VLOOKUP(7008,LANGUAGE_DB,2)</f>
        <v>nach Massnahmen</v>
      </c>
      <c r="N16" s="304"/>
      <c r="O16" s="305"/>
      <c r="Q16" s="1" t="s">
        <v>14</v>
      </c>
      <c r="AE16" s="170"/>
      <c r="AF16" s="296" t="s">
        <v>514</v>
      </c>
      <c r="AG16" s="297"/>
      <c r="AH16" s="298"/>
      <c r="AI16" s="296" t="s">
        <v>514</v>
      </c>
      <c r="AJ16" s="297"/>
      <c r="AK16" s="298"/>
    </row>
    <row r="17" spans="1:37" s="2" customFormat="1" ht="83.25" customHeight="1" thickBot="1" x14ac:dyDescent="0.3">
      <c r="A17" s="166" t="str">
        <f>CONCATENATE("MEHARI ",VLOOKUP(A12,LANGUAGE_DB,2))</f>
        <v>MEHARI Nummer</v>
      </c>
      <c r="B17" s="172" t="str">
        <f>CONCATENATE("FMEA ",VLOOKUP(B12,LANGUAGE_DB,2))</f>
        <v>FMEA Nummer</v>
      </c>
      <c r="C17" s="167" t="str">
        <f t="shared" ref="C17:O17" si="0">VLOOKUP(C12,LANGUAGE_DB,2)</f>
        <v>Szenario gemäss FMEA Risikos</v>
      </c>
      <c r="D17" s="167" t="str">
        <f t="shared" si="0"/>
        <v>abschreckende Massnahme(n) DISS nach Tabelle E1</v>
      </c>
      <c r="E17" s="167" t="str">
        <f t="shared" si="0"/>
        <v>vorbeugende Massnahme PREV nach Tabelle E1</v>
      </c>
      <c r="F17" s="167" t="str">
        <f t="shared" si="0"/>
        <v>schützende / minimierende Massnahme CONF nach Tabelle E2</v>
      </c>
      <c r="G17" s="167" t="str">
        <f t="shared" si="0"/>
        <v>abschwächende/lindernde Massnahme PALL nach Tabelle E2</v>
      </c>
      <c r="H17" s="167" t="str">
        <f t="shared" si="0"/>
        <v>Szenario Typ</v>
      </c>
      <c r="I17" s="167" t="str">
        <f t="shared" si="0"/>
        <v>betrifft IT Grundwerte C,I,A</v>
      </c>
      <c r="J17" s="33" t="str">
        <f t="shared" si="0"/>
        <v>Auftrittshäufigkeit</v>
      </c>
      <c r="K17" s="33" t="str">
        <f t="shared" si="0"/>
        <v>Schweregrad</v>
      </c>
      <c r="L17" s="33" t="str">
        <f t="shared" si="0"/>
        <v>Risiko-Prioritäts-Zahl</v>
      </c>
      <c r="M17" s="33" t="str">
        <f t="shared" si="0"/>
        <v>Auftrittshäufigkeit</v>
      </c>
      <c r="N17" s="33" t="str">
        <f t="shared" si="0"/>
        <v>Schweregrad</v>
      </c>
      <c r="O17" s="33" t="str">
        <f t="shared" si="0"/>
        <v>Risiko-Prioritäts-Zahl</v>
      </c>
      <c r="P17" s="33"/>
      <c r="Q17" s="33" t="str">
        <f>VLOOKUP(Q12,LANGUAGE_DB,2)</f>
        <v>relevant für Matrix</v>
      </c>
      <c r="R17" s="33" t="s">
        <v>356</v>
      </c>
      <c r="S17" s="87" t="s">
        <v>350</v>
      </c>
      <c r="T17" s="116" t="s">
        <v>353</v>
      </c>
      <c r="U17" s="87" t="s">
        <v>351</v>
      </c>
      <c r="V17" s="116" t="s">
        <v>355</v>
      </c>
      <c r="W17" s="99" t="s">
        <v>373</v>
      </c>
      <c r="X17" s="99" t="s">
        <v>429</v>
      </c>
      <c r="Y17" s="100" t="s">
        <v>780</v>
      </c>
      <c r="Z17" s="125" t="s">
        <v>816</v>
      </c>
      <c r="AA17" s="87" t="s">
        <v>419</v>
      </c>
      <c r="AB17" s="116" t="s">
        <v>420</v>
      </c>
      <c r="AC17" s="127" t="s">
        <v>342</v>
      </c>
      <c r="AD17" s="125" t="s">
        <v>488</v>
      </c>
      <c r="AE17" s="125" t="s">
        <v>489</v>
      </c>
      <c r="AF17" s="99" t="str">
        <f>CONCATENATE(J17," before action")</f>
        <v>Auftrittshäufigkeit before action</v>
      </c>
      <c r="AG17" s="125" t="s">
        <v>513</v>
      </c>
      <c r="AH17" s="99" t="str">
        <f>VLOOKUP(AH12,LANGUAGE_DB,2)</f>
        <v>Anzahl Duplikate</v>
      </c>
      <c r="AI17" s="99" t="str">
        <f>CONCATENATE(M17," after action")</f>
        <v>Auftrittshäufigkeit after action</v>
      </c>
      <c r="AJ17" s="125" t="s">
        <v>513</v>
      </c>
      <c r="AK17" s="99" t="str">
        <f>VLOOKUP(AK12,LANGUAGE_DB,2)</f>
        <v>Anzahl Duplikate</v>
      </c>
    </row>
    <row r="18" spans="1:37" s="53" customFormat="1" x14ac:dyDescent="0.2">
      <c r="A18" s="179">
        <f t="shared" ref="A18:A32" si="1">ROW()-MEHARI_1st+1</f>
        <v>1</v>
      </c>
      <c r="B18" s="221">
        <f>FMEA!A22</f>
        <v>5</v>
      </c>
      <c r="C18" s="180" t="str">
        <f>FMEA!B22</f>
        <v>lokaler Datenspeicher</v>
      </c>
      <c r="D18" s="180" t="str">
        <f t="shared" ref="D18" si="2">CONCATENATE(IF(S18="","",IF(MEHARI_Short_Long=0,VLOOKUP(S18,M_DISS_DB,1,FALSE),VLOOKUP(S18,M_DISS_DB,2,FALSE))))</f>
        <v>keine</v>
      </c>
      <c r="E18" s="180" t="str">
        <f t="shared" ref="E18" si="3">CONCATENATE(IF(U18="","",IF(MEHARI_Short_Long=0,VLOOKUP(U18,M_PREV_DB,1,FALSE),VLOOKUP(U18,M_PREV_DB,2,FALSE))))</f>
        <v>regelmässige Kontrolle Hardware</v>
      </c>
      <c r="F18" s="180" t="str">
        <f t="shared" ref="F18:F32" si="4">CONCATENATE(IF(Y18="","",IF(MEHARI_Short_Long=0,VLOOKUP(Y18,M_PROT_DB,1,FALSE),VLOOKUP(Y18,M_PROT_DB,2,FALSE))))</f>
        <v>Hardware / Software Redundanz</v>
      </c>
      <c r="G18" s="180" t="str">
        <f t="shared" ref="G18:G19" si="5">CONCATENATE(IF(AA18="","",IF(MEHARI_Short_Long=0,VLOOKUP(AA18,M_PALL_DB,1,FALSE),VLOOKUP(AA18,M_PALL_DB,2,FALSE))))</f>
        <v>Datenbackup</v>
      </c>
      <c r="H18" s="180" t="str">
        <f t="shared" ref="H18:H32" si="6">IFERROR(VLOOKUP(AC18,M_Scenario_DB,2,FALSE),"")</f>
        <v>Fehler</v>
      </c>
      <c r="I18" s="180" t="str">
        <f t="shared" ref="I18:I32" si="7">IFERROR(VLOOKUP(X18,M_Scenrio_CIA,2,FALSE),"")</f>
        <v>Verfügbarkeit</v>
      </c>
      <c r="J18" s="181">
        <v>2</v>
      </c>
      <c r="K18" s="181">
        <v>3</v>
      </c>
      <c r="L18" s="195">
        <f>IF(OR(J18="",K18=""),"",J18*K18)</f>
        <v>6</v>
      </c>
      <c r="M18" s="182">
        <f t="shared" ref="M18:M39" si="8">IF(_xlfn.NUMBERVALUE(IFERROR(VLOOKUP(R18,M_Grid_DB_Likelihood,2,FALSE),"0"))=0,"",_xlfn.NUMBERVALUE(IFERROR(VLOOKUP(R18,M_Grid_DB_Likelihood,2,FALSE),"0")))</f>
        <v>2</v>
      </c>
      <c r="N18" s="222">
        <f t="shared" ref="N18:N39" si="9">IF(_xlfn.NUMBERVALUE(IFERROR(VLOOKUP(W18,M_Grid_DB_Impact,2,FALSE),"0"))=0,"",_xlfn.NUMBERVALUE(IFERROR(VLOOKUP(W18,M_Grid_DB_Impact,2,FALSE),"0")))</f>
        <v>2</v>
      </c>
      <c r="O18" s="223">
        <f>IF(OR(M18="",N18=""),"",M18*N18)</f>
        <v>4</v>
      </c>
      <c r="P18" s="90"/>
      <c r="Q18" s="91" t="s">
        <v>14</v>
      </c>
      <c r="R18" s="90" t="str">
        <f t="shared" ref="R18:R32" si="10">CONCATENATE(IF(H18=M_accident,"A",IF(H18=M_error,"E",IF(H18=M_voluntary_action,"V",""))),"E",J18,"D",T18,"P",V18)</f>
        <v>EE2D1P2</v>
      </c>
      <c r="S18" s="88" t="s">
        <v>441</v>
      </c>
      <c r="T18" s="117">
        <f t="shared" ref="T18:T39" si="11">IF(S18="",1,IFERROR(VLOOKUP(S18,M_DISS_DB,6),""))</f>
        <v>1</v>
      </c>
      <c r="U18" s="88" t="s">
        <v>777</v>
      </c>
      <c r="V18" s="117">
        <f t="shared" ref="V18:V39" si="12">IF(U18="",1,IFERROR(VLOOKUP(U18,M_PREV_DB,6),""))</f>
        <v>2</v>
      </c>
      <c r="W18" s="90" t="str">
        <f t="shared" ref="W18:W39" si="13">CONCATENATE(IF(X18="A","A",IF(X18="I","I",IF(X18="C","C",""))),"II",K18,"C",Z18,"P",AB18)</f>
        <v>AII3C3P3</v>
      </c>
      <c r="X18" s="123" t="s">
        <v>223</v>
      </c>
      <c r="Y18" s="120" t="s">
        <v>781</v>
      </c>
      <c r="Z18" s="117">
        <f t="shared" ref="Z18:Z39" si="14">IF(Y18="",1,IFERROR(VLOOKUP(Y18,M_PROT_DB,6),""))</f>
        <v>3</v>
      </c>
      <c r="AA18" s="51" t="s">
        <v>772</v>
      </c>
      <c r="AB18" s="117">
        <f t="shared" ref="AB18:AB39" si="15">IF(AA18="",1,IFERROR(VLOOKUP(AA18,M_PALL_DB,6),""))</f>
        <v>3</v>
      </c>
      <c r="AC18" s="126">
        <v>2</v>
      </c>
      <c r="AD18" s="117" t="str">
        <f>IF(B18=0,"",CONCATENATE("ID=",A18))</f>
        <v>ID=1</v>
      </c>
      <c r="AE18" s="124" t="str">
        <f>IF(B18=0,"",CONCATENATE("ID=",A18))</f>
        <v>ID=1</v>
      </c>
      <c r="AF18" s="165">
        <f>_xlfn.NUMBERVALUE(IFERROR(J18,"0"))</f>
        <v>2</v>
      </c>
      <c r="AG18" s="124" t="str">
        <f>CONCATENATE(K18,";",AF18)</f>
        <v>3;2</v>
      </c>
      <c r="AH18" s="124">
        <f t="shared" ref="AH18:AH39" si="16">COUNTIF(AG$18:AG$39,AG18)</f>
        <v>1</v>
      </c>
      <c r="AI18" s="165">
        <f>_xlfn.NUMBERVALUE(IFERROR(M18,"0"))+0.1</f>
        <v>2.1</v>
      </c>
      <c r="AJ18" s="124" t="str">
        <f>CONCATENATE(N18,";",AI18)</f>
        <v>2;2.1</v>
      </c>
      <c r="AK18" s="124">
        <f t="shared" ref="AK18:AK39" si="17">COUNTIF(AJ$18:AJ$39,AJ18)</f>
        <v>1</v>
      </c>
    </row>
    <row r="19" spans="1:37" s="54" customFormat="1" ht="22.5" x14ac:dyDescent="0.2">
      <c r="A19" s="183">
        <f t="shared" si="1"/>
        <v>2</v>
      </c>
      <c r="B19" s="224">
        <f>FMEA!A25</f>
        <v>8</v>
      </c>
      <c r="C19" s="184" t="str">
        <f>FMEA!B25</f>
        <v>e-Health Geräte</v>
      </c>
      <c r="D19" s="184" t="str">
        <f t="shared" ref="D19:D39" si="18">CONCATENATE(IF(S19="","",IF(MEHARI_Short_Long=0,VLOOKUP(S19,M_DISS_DB,1,FALSE),VLOOKUP(S19,M_DISS_DB,2,FALSE))))</f>
        <v>Strafrechtliche Verfolgung bei Entdeckung</v>
      </c>
      <c r="E19" s="184" t="str">
        <f t="shared" ref="E19:E39" si="19">CONCATENATE(IF(U19="","",IF(MEHARI_Short_Long=0,VLOOKUP(U19,M_PREV_DB,1,FALSE),VLOOKUP(U19,M_PREV_DB,2,FALSE))))</f>
        <v>setzen auf Hersteller mit grossem Sicherheitsdenken</v>
      </c>
      <c r="F19" s="184" t="str">
        <f t="shared" si="4"/>
        <v>nur Leserechte / keine Schreibrechte</v>
      </c>
      <c r="G19" s="184" t="str">
        <f t="shared" si="5"/>
        <v>keine</v>
      </c>
      <c r="H19" s="184" t="str">
        <f t="shared" si="6"/>
        <v>willentliche Aktion</v>
      </c>
      <c r="I19" s="184" t="str">
        <f t="shared" si="7"/>
        <v>Integrität</v>
      </c>
      <c r="J19" s="185">
        <v>2</v>
      </c>
      <c r="K19" s="185">
        <v>4</v>
      </c>
      <c r="L19" s="196">
        <f t="shared" ref="L19:L39" si="20">IF(OR(J19="",K19=""),"",J19*K19)</f>
        <v>8</v>
      </c>
      <c r="M19" s="186">
        <f t="shared" si="8"/>
        <v>2</v>
      </c>
      <c r="N19" s="225">
        <f t="shared" si="9"/>
        <v>3</v>
      </c>
      <c r="O19" s="226">
        <f t="shared" ref="O19:O39" si="21">IF(OR(M19="",N19=""),"",M19*N19)</f>
        <v>6</v>
      </c>
      <c r="Q19" s="91" t="s">
        <v>14</v>
      </c>
      <c r="R19" s="90" t="str">
        <f t="shared" si="10"/>
        <v>VE2D1P2</v>
      </c>
      <c r="S19" s="88" t="s">
        <v>819</v>
      </c>
      <c r="T19" s="117">
        <f t="shared" si="11"/>
        <v>1</v>
      </c>
      <c r="U19" s="88" t="s">
        <v>798</v>
      </c>
      <c r="V19" s="117">
        <f t="shared" si="12"/>
        <v>2</v>
      </c>
      <c r="W19" s="90" t="str">
        <f t="shared" si="13"/>
        <v>III4C2P1</v>
      </c>
      <c r="X19" s="122" t="s">
        <v>330</v>
      </c>
      <c r="Y19" s="120" t="s">
        <v>801</v>
      </c>
      <c r="Z19" s="117">
        <f t="shared" si="14"/>
        <v>2</v>
      </c>
      <c r="AA19" s="51" t="s">
        <v>802</v>
      </c>
      <c r="AB19" s="117">
        <f t="shared" si="15"/>
        <v>1</v>
      </c>
      <c r="AC19" s="121">
        <v>3</v>
      </c>
      <c r="AD19" s="117" t="str">
        <f t="shared" ref="AD19:AD39" si="22">IF(B19=0,"",CONCATENATE("ID=",A19))</f>
        <v>ID=2</v>
      </c>
      <c r="AE19" s="124" t="str">
        <f t="shared" ref="AE19:AE39" si="23">IF(B19=0,"",CONCATENATE("ID=",A19))</f>
        <v>ID=2</v>
      </c>
      <c r="AF19" s="165">
        <f>_xlfn.NUMBERVALUE(IFERROR(J19,"0"))+0.1</f>
        <v>2.1</v>
      </c>
      <c r="AG19" s="124" t="str">
        <f t="shared" ref="AG19:AG39" si="24">CONCATENATE(K19,";",AF19)</f>
        <v>4;2.1</v>
      </c>
      <c r="AH19" s="124">
        <f t="shared" si="16"/>
        <v>1</v>
      </c>
      <c r="AI19" s="165">
        <f>_xlfn.NUMBERVALUE(IFERROR(M19,"0"))</f>
        <v>2</v>
      </c>
      <c r="AJ19" s="124" t="str">
        <f t="shared" ref="AJ19:AJ39" si="25">CONCATENATE(N19,";",AI19)</f>
        <v>3;2</v>
      </c>
      <c r="AK19" s="124">
        <f t="shared" si="17"/>
        <v>1</v>
      </c>
    </row>
    <row r="20" spans="1:37" s="53" customFormat="1" ht="22.5" x14ac:dyDescent="0.2">
      <c r="A20" s="187">
        <f t="shared" si="1"/>
        <v>3</v>
      </c>
      <c r="B20" s="227">
        <f>FMEA!A29</f>
        <v>12</v>
      </c>
      <c r="C20" s="188" t="str">
        <f>FMEA!B29</f>
        <v>Schliesssysteme</v>
      </c>
      <c r="D20" s="188" t="str">
        <f t="shared" si="18"/>
        <v>Strafrechtliche Verfolgung bei Entdeckung</v>
      </c>
      <c r="E20" s="188" t="str">
        <f t="shared" si="19"/>
        <v>keine</v>
      </c>
      <c r="F20" s="188" t="str">
        <f t="shared" si="4"/>
        <v>Abschotten sicherheitsrelevanter Systeme</v>
      </c>
      <c r="G20" s="188" t="str">
        <f t="shared" ref="G20:G33" si="26">CONCATENATE(IF(AA20="","",IF(MEHARI_Short_Long=0,VLOOKUP(AA20,M_PALL_DB,1,FALSE),VLOOKUP(AA20,M_PALL_DB,2,FALSE))))</f>
        <v>redundantes System ohne direkte Verbindung zum Hauptsystem</v>
      </c>
      <c r="H20" s="188" t="str">
        <f t="shared" si="6"/>
        <v>willentliche Aktion</v>
      </c>
      <c r="I20" s="188" t="str">
        <f t="shared" si="7"/>
        <v>Integrität</v>
      </c>
      <c r="J20" s="189">
        <v>1</v>
      </c>
      <c r="K20" s="189">
        <v>4</v>
      </c>
      <c r="L20" s="197">
        <f t="shared" si="20"/>
        <v>4</v>
      </c>
      <c r="M20" s="190">
        <f t="shared" si="8"/>
        <v>1</v>
      </c>
      <c r="N20" s="228">
        <f t="shared" si="9"/>
        <v>2</v>
      </c>
      <c r="O20" s="229">
        <f t="shared" si="21"/>
        <v>2</v>
      </c>
      <c r="Q20" s="91" t="s">
        <v>14</v>
      </c>
      <c r="R20" s="90" t="str">
        <f t="shared" si="10"/>
        <v>VE1D1P1</v>
      </c>
      <c r="S20" s="88" t="s">
        <v>819</v>
      </c>
      <c r="T20" s="117">
        <f t="shared" si="11"/>
        <v>1</v>
      </c>
      <c r="U20" s="88" t="s">
        <v>810</v>
      </c>
      <c r="V20" s="117">
        <f t="shared" si="12"/>
        <v>1</v>
      </c>
      <c r="W20" s="90" t="str">
        <f t="shared" si="13"/>
        <v>III4C3P3</v>
      </c>
      <c r="X20" s="122" t="s">
        <v>330</v>
      </c>
      <c r="Y20" s="51" t="s">
        <v>820</v>
      </c>
      <c r="Z20" s="117">
        <f t="shared" si="14"/>
        <v>3</v>
      </c>
      <c r="AA20" s="51" t="s">
        <v>815</v>
      </c>
      <c r="AB20" s="117">
        <f t="shared" si="15"/>
        <v>3</v>
      </c>
      <c r="AC20" s="121">
        <v>3</v>
      </c>
      <c r="AD20" s="117" t="str">
        <f t="shared" si="22"/>
        <v>ID=3</v>
      </c>
      <c r="AE20" s="124" t="str">
        <f t="shared" si="23"/>
        <v>ID=3</v>
      </c>
      <c r="AF20" s="165">
        <f>_xlfn.NUMBERVALUE(IFERROR(J20,"0"))</f>
        <v>1</v>
      </c>
      <c r="AG20" s="124" t="str">
        <f t="shared" si="24"/>
        <v>4;1</v>
      </c>
      <c r="AH20" s="124">
        <f t="shared" si="16"/>
        <v>1</v>
      </c>
      <c r="AI20" s="165">
        <f>_xlfn.NUMBERVALUE(IFERROR(M20,"0"))</f>
        <v>1</v>
      </c>
      <c r="AJ20" s="124" t="str">
        <f t="shared" si="25"/>
        <v>2;1</v>
      </c>
      <c r="AK20" s="124">
        <f t="shared" si="17"/>
        <v>1</v>
      </c>
    </row>
    <row r="21" spans="1:37" s="53" customFormat="1" ht="23.25" thickBot="1" x14ac:dyDescent="0.25">
      <c r="A21" s="191">
        <f t="shared" si="1"/>
        <v>4</v>
      </c>
      <c r="B21" s="233">
        <f>FMEA!A31</f>
        <v>14</v>
      </c>
      <c r="C21" s="192" t="str">
        <f>FMEA!B31</f>
        <v>Auto</v>
      </c>
      <c r="D21" s="192" t="str">
        <f t="shared" si="18"/>
        <v>keine</v>
      </c>
      <c r="E21" s="192" t="str">
        <f t="shared" si="19"/>
        <v>setzen auf Hersteller mit grossem Sicherheitsdenken</v>
      </c>
      <c r="F21" s="192" t="str">
        <f t="shared" si="4"/>
        <v>keine</v>
      </c>
      <c r="G21" s="192" t="str">
        <f t="shared" si="26"/>
        <v>keine</v>
      </c>
      <c r="H21" s="192" t="str">
        <f t="shared" si="6"/>
        <v>willentliche Aktion</v>
      </c>
      <c r="I21" s="192" t="str">
        <f t="shared" si="7"/>
        <v>Integrität</v>
      </c>
      <c r="J21" s="193">
        <v>2</v>
      </c>
      <c r="K21" s="193">
        <v>4</v>
      </c>
      <c r="L21" s="198">
        <f t="shared" si="20"/>
        <v>8</v>
      </c>
      <c r="M21" s="194">
        <f t="shared" si="8"/>
        <v>2</v>
      </c>
      <c r="N21" s="234">
        <f t="shared" si="9"/>
        <v>4</v>
      </c>
      <c r="O21" s="235">
        <f t="shared" si="21"/>
        <v>8</v>
      </c>
      <c r="Q21" s="91" t="s">
        <v>14</v>
      </c>
      <c r="R21" s="90" t="str">
        <f t="shared" si="10"/>
        <v>VE2D1P2</v>
      </c>
      <c r="S21" s="88" t="s">
        <v>441</v>
      </c>
      <c r="T21" s="117">
        <f t="shared" si="11"/>
        <v>1</v>
      </c>
      <c r="U21" s="88" t="s">
        <v>798</v>
      </c>
      <c r="V21" s="117">
        <f t="shared" si="12"/>
        <v>2</v>
      </c>
      <c r="W21" s="90" t="str">
        <f t="shared" si="13"/>
        <v>III4C1P1</v>
      </c>
      <c r="X21" s="122" t="s">
        <v>330</v>
      </c>
      <c r="Y21" s="51" t="s">
        <v>805</v>
      </c>
      <c r="Z21" s="117">
        <f t="shared" si="14"/>
        <v>1</v>
      </c>
      <c r="AA21" s="51" t="s">
        <v>802</v>
      </c>
      <c r="AB21" s="117">
        <f t="shared" si="15"/>
        <v>1</v>
      </c>
      <c r="AC21" s="121">
        <v>3</v>
      </c>
      <c r="AD21" s="117" t="str">
        <f t="shared" si="22"/>
        <v>ID=4</v>
      </c>
      <c r="AE21" s="124" t="str">
        <f t="shared" si="23"/>
        <v>ID=4</v>
      </c>
      <c r="AF21" s="165">
        <f>_xlfn.NUMBERVALUE(IFERROR(J21,"0"))</f>
        <v>2</v>
      </c>
      <c r="AG21" s="124" t="str">
        <f t="shared" si="24"/>
        <v>4;2</v>
      </c>
      <c r="AH21" s="124">
        <f t="shared" si="16"/>
        <v>1</v>
      </c>
      <c r="AI21" s="165">
        <f>_xlfn.NUMBERVALUE(IFERROR(M21,"0"))</f>
        <v>2</v>
      </c>
      <c r="AJ21" s="124" t="str">
        <f t="shared" si="25"/>
        <v>4;2</v>
      </c>
      <c r="AK21" s="124">
        <f t="shared" si="17"/>
        <v>1</v>
      </c>
    </row>
    <row r="22" spans="1:37" s="53" customFormat="1" hidden="1" x14ac:dyDescent="0.2">
      <c r="A22" s="183">
        <f t="shared" si="1"/>
        <v>5</v>
      </c>
      <c r="B22" s="224"/>
      <c r="C22" s="184"/>
      <c r="D22" s="184" t="str">
        <f t="shared" si="18"/>
        <v/>
      </c>
      <c r="E22" s="184" t="str">
        <f t="shared" si="19"/>
        <v/>
      </c>
      <c r="F22" s="184" t="str">
        <f t="shared" si="4"/>
        <v/>
      </c>
      <c r="G22" s="184" t="str">
        <f t="shared" si="26"/>
        <v/>
      </c>
      <c r="H22" s="184" t="str">
        <f t="shared" si="6"/>
        <v/>
      </c>
      <c r="I22" s="184" t="str">
        <f t="shared" si="7"/>
        <v/>
      </c>
      <c r="J22" s="185"/>
      <c r="K22" s="185"/>
      <c r="L22" s="196" t="str">
        <f t="shared" ref="L22" si="27">IF(OR(J22="",K22=""),"",J22*K22)</f>
        <v/>
      </c>
      <c r="M22" s="186" t="str">
        <f t="shared" si="8"/>
        <v/>
      </c>
      <c r="N22" s="225" t="str">
        <f t="shared" si="9"/>
        <v/>
      </c>
      <c r="O22" s="226" t="str">
        <f t="shared" si="21"/>
        <v/>
      </c>
      <c r="Q22" s="91" t="s">
        <v>14</v>
      </c>
      <c r="R22" s="90" t="str">
        <f t="shared" si="10"/>
        <v>ED1P1</v>
      </c>
      <c r="S22" s="88"/>
      <c r="T22" s="117">
        <f t="shared" si="11"/>
        <v>1</v>
      </c>
      <c r="U22" s="88"/>
      <c r="V22" s="117">
        <f t="shared" si="12"/>
        <v>1</v>
      </c>
      <c r="W22" s="90" t="str">
        <f t="shared" si="13"/>
        <v>IIC1P1</v>
      </c>
      <c r="X22" s="122"/>
      <c r="Y22" s="51"/>
      <c r="Z22" s="117">
        <f t="shared" si="14"/>
        <v>1</v>
      </c>
      <c r="AA22" s="51"/>
      <c r="AB22" s="117">
        <f t="shared" si="15"/>
        <v>1</v>
      </c>
      <c r="AC22" s="121"/>
      <c r="AD22" s="117" t="str">
        <f t="shared" si="22"/>
        <v/>
      </c>
      <c r="AE22" s="124" t="str">
        <f t="shared" si="23"/>
        <v/>
      </c>
      <c r="AF22" s="165">
        <v>0</v>
      </c>
      <c r="AG22" s="124" t="str">
        <f t="shared" si="24"/>
        <v>;0</v>
      </c>
      <c r="AH22" s="124">
        <f t="shared" si="16"/>
        <v>18</v>
      </c>
      <c r="AI22" s="165">
        <v>0</v>
      </c>
      <c r="AJ22" s="124" t="str">
        <f t="shared" si="25"/>
        <v>;0</v>
      </c>
      <c r="AK22" s="124">
        <f t="shared" si="17"/>
        <v>18</v>
      </c>
    </row>
    <row r="23" spans="1:37" s="53" customFormat="1" hidden="1" x14ac:dyDescent="0.2">
      <c r="A23" s="187">
        <f t="shared" si="1"/>
        <v>6</v>
      </c>
      <c r="B23" s="227"/>
      <c r="C23" s="188"/>
      <c r="D23" s="188" t="str">
        <f t="shared" si="18"/>
        <v/>
      </c>
      <c r="E23" s="188" t="str">
        <f t="shared" si="19"/>
        <v/>
      </c>
      <c r="F23" s="188" t="str">
        <f t="shared" si="4"/>
        <v/>
      </c>
      <c r="G23" s="188" t="str">
        <f t="shared" si="26"/>
        <v/>
      </c>
      <c r="H23" s="188" t="str">
        <f t="shared" si="6"/>
        <v/>
      </c>
      <c r="I23" s="188" t="str">
        <f t="shared" si="7"/>
        <v/>
      </c>
      <c r="J23" s="189"/>
      <c r="K23" s="189"/>
      <c r="L23" s="197" t="str">
        <f t="shared" si="20"/>
        <v/>
      </c>
      <c r="M23" s="190" t="str">
        <f t="shared" si="8"/>
        <v/>
      </c>
      <c r="N23" s="228" t="str">
        <f t="shared" si="9"/>
        <v/>
      </c>
      <c r="O23" s="229" t="str">
        <f t="shared" si="21"/>
        <v/>
      </c>
      <c r="Q23" s="91" t="s">
        <v>14</v>
      </c>
      <c r="R23" s="90" t="str">
        <f t="shared" si="10"/>
        <v>ED1P1</v>
      </c>
      <c r="S23" s="88"/>
      <c r="T23" s="117">
        <f t="shared" si="11"/>
        <v>1</v>
      </c>
      <c r="U23" s="88"/>
      <c r="V23" s="117">
        <f t="shared" si="12"/>
        <v>1</v>
      </c>
      <c r="W23" s="90" t="str">
        <f t="shared" si="13"/>
        <v>IIC1P1</v>
      </c>
      <c r="X23" s="122"/>
      <c r="Y23" s="51"/>
      <c r="Z23" s="117">
        <f t="shared" si="14"/>
        <v>1</v>
      </c>
      <c r="AA23" s="51"/>
      <c r="AB23" s="117">
        <f t="shared" si="15"/>
        <v>1</v>
      </c>
      <c r="AC23" s="121"/>
      <c r="AD23" s="117" t="str">
        <f t="shared" si="22"/>
        <v/>
      </c>
      <c r="AE23" s="124" t="str">
        <f t="shared" si="23"/>
        <v/>
      </c>
      <c r="AF23" s="165">
        <v>0</v>
      </c>
      <c r="AG23" s="124" t="str">
        <f t="shared" si="24"/>
        <v>;0</v>
      </c>
      <c r="AH23" s="124">
        <f t="shared" si="16"/>
        <v>18</v>
      </c>
      <c r="AI23" s="165">
        <v>0</v>
      </c>
      <c r="AJ23" s="124" t="str">
        <f t="shared" si="25"/>
        <v>;0</v>
      </c>
      <c r="AK23" s="124">
        <f t="shared" si="17"/>
        <v>18</v>
      </c>
    </row>
    <row r="24" spans="1:37" s="53" customFormat="1" hidden="1" x14ac:dyDescent="0.2">
      <c r="A24" s="187">
        <f t="shared" si="1"/>
        <v>7</v>
      </c>
      <c r="B24" s="227"/>
      <c r="C24" s="188"/>
      <c r="D24" s="188" t="str">
        <f t="shared" si="18"/>
        <v/>
      </c>
      <c r="E24" s="188" t="str">
        <f t="shared" si="19"/>
        <v/>
      </c>
      <c r="F24" s="188" t="str">
        <f t="shared" si="4"/>
        <v/>
      </c>
      <c r="G24" s="188" t="str">
        <f t="shared" si="26"/>
        <v/>
      </c>
      <c r="H24" s="188" t="str">
        <f t="shared" si="6"/>
        <v/>
      </c>
      <c r="I24" s="188" t="str">
        <f t="shared" si="7"/>
        <v/>
      </c>
      <c r="J24" s="189"/>
      <c r="K24" s="189"/>
      <c r="L24" s="197" t="str">
        <f t="shared" si="20"/>
        <v/>
      </c>
      <c r="M24" s="190" t="str">
        <f t="shared" si="8"/>
        <v/>
      </c>
      <c r="N24" s="228" t="str">
        <f t="shared" si="9"/>
        <v/>
      </c>
      <c r="O24" s="229" t="str">
        <f t="shared" si="21"/>
        <v/>
      </c>
      <c r="Q24" s="91" t="s">
        <v>14</v>
      </c>
      <c r="R24" s="90" t="str">
        <f t="shared" si="10"/>
        <v>ED1P1</v>
      </c>
      <c r="S24" s="88"/>
      <c r="T24" s="117">
        <f t="shared" si="11"/>
        <v>1</v>
      </c>
      <c r="U24" s="88"/>
      <c r="V24" s="117">
        <f t="shared" si="12"/>
        <v>1</v>
      </c>
      <c r="W24" s="90" t="str">
        <f t="shared" si="13"/>
        <v>IIC1P1</v>
      </c>
      <c r="X24" s="122"/>
      <c r="Y24" s="51"/>
      <c r="Z24" s="117">
        <f t="shared" si="14"/>
        <v>1</v>
      </c>
      <c r="AA24" s="51"/>
      <c r="AB24" s="117">
        <f t="shared" si="15"/>
        <v>1</v>
      </c>
      <c r="AC24" s="121"/>
      <c r="AD24" s="117" t="str">
        <f t="shared" si="22"/>
        <v/>
      </c>
      <c r="AE24" s="124" t="str">
        <f t="shared" si="23"/>
        <v/>
      </c>
      <c r="AF24" s="165">
        <v>0</v>
      </c>
      <c r="AG24" s="124" t="str">
        <f t="shared" si="24"/>
        <v>;0</v>
      </c>
      <c r="AH24" s="124">
        <f t="shared" si="16"/>
        <v>18</v>
      </c>
      <c r="AI24" s="165">
        <v>0</v>
      </c>
      <c r="AJ24" s="124" t="str">
        <f t="shared" si="25"/>
        <v>;0</v>
      </c>
      <c r="AK24" s="124">
        <f t="shared" si="17"/>
        <v>18</v>
      </c>
    </row>
    <row r="25" spans="1:37" s="53" customFormat="1" hidden="1" x14ac:dyDescent="0.2">
      <c r="A25" s="187">
        <f t="shared" si="1"/>
        <v>8</v>
      </c>
      <c r="B25" s="227"/>
      <c r="C25" s="188"/>
      <c r="D25" s="188" t="str">
        <f t="shared" si="18"/>
        <v/>
      </c>
      <c r="E25" s="188" t="str">
        <f t="shared" si="19"/>
        <v/>
      </c>
      <c r="F25" s="188" t="str">
        <f t="shared" si="4"/>
        <v/>
      </c>
      <c r="G25" s="188" t="str">
        <f t="shared" si="26"/>
        <v/>
      </c>
      <c r="H25" s="188" t="str">
        <f t="shared" si="6"/>
        <v/>
      </c>
      <c r="I25" s="188" t="str">
        <f t="shared" si="7"/>
        <v/>
      </c>
      <c r="J25" s="189"/>
      <c r="K25" s="189"/>
      <c r="L25" s="197" t="str">
        <f t="shared" si="20"/>
        <v/>
      </c>
      <c r="M25" s="190" t="str">
        <f t="shared" si="8"/>
        <v/>
      </c>
      <c r="N25" s="228" t="str">
        <f t="shared" si="9"/>
        <v/>
      </c>
      <c r="O25" s="229" t="str">
        <f t="shared" si="21"/>
        <v/>
      </c>
      <c r="Q25" s="91" t="s">
        <v>14</v>
      </c>
      <c r="R25" s="90" t="str">
        <f t="shared" si="10"/>
        <v>ED1P1</v>
      </c>
      <c r="S25" s="88"/>
      <c r="T25" s="117">
        <f t="shared" si="11"/>
        <v>1</v>
      </c>
      <c r="U25" s="88"/>
      <c r="V25" s="117">
        <f t="shared" si="12"/>
        <v>1</v>
      </c>
      <c r="W25" s="90" t="str">
        <f t="shared" si="13"/>
        <v>IIC1P1</v>
      </c>
      <c r="X25" s="122"/>
      <c r="Y25" s="51"/>
      <c r="Z25" s="117">
        <f t="shared" si="14"/>
        <v>1</v>
      </c>
      <c r="AA25" s="51"/>
      <c r="AB25" s="117">
        <f t="shared" si="15"/>
        <v>1</v>
      </c>
      <c r="AC25" s="121"/>
      <c r="AD25" s="117" t="str">
        <f t="shared" si="22"/>
        <v/>
      </c>
      <c r="AE25" s="124" t="str">
        <f t="shared" si="23"/>
        <v/>
      </c>
      <c r="AF25" s="165">
        <v>0</v>
      </c>
      <c r="AG25" s="124" t="str">
        <f t="shared" si="24"/>
        <v>;0</v>
      </c>
      <c r="AH25" s="124">
        <f t="shared" si="16"/>
        <v>18</v>
      </c>
      <c r="AI25" s="165">
        <v>0</v>
      </c>
      <c r="AJ25" s="124" t="str">
        <f t="shared" si="25"/>
        <v>;0</v>
      </c>
      <c r="AK25" s="124">
        <f t="shared" si="17"/>
        <v>18</v>
      </c>
    </row>
    <row r="26" spans="1:37" s="53" customFormat="1" hidden="1" x14ac:dyDescent="0.2">
      <c r="A26" s="187">
        <f t="shared" si="1"/>
        <v>9</v>
      </c>
      <c r="B26" s="227"/>
      <c r="C26" s="188"/>
      <c r="D26" s="188" t="str">
        <f t="shared" si="18"/>
        <v/>
      </c>
      <c r="E26" s="188" t="str">
        <f t="shared" si="19"/>
        <v/>
      </c>
      <c r="F26" s="188" t="str">
        <f t="shared" si="4"/>
        <v/>
      </c>
      <c r="G26" s="188" t="str">
        <f t="shared" si="26"/>
        <v/>
      </c>
      <c r="H26" s="188" t="str">
        <f t="shared" si="6"/>
        <v/>
      </c>
      <c r="I26" s="188" t="str">
        <f t="shared" si="7"/>
        <v/>
      </c>
      <c r="J26" s="189"/>
      <c r="K26" s="189"/>
      <c r="L26" s="197" t="str">
        <f t="shared" si="20"/>
        <v/>
      </c>
      <c r="M26" s="190" t="str">
        <f t="shared" si="8"/>
        <v/>
      </c>
      <c r="N26" s="228" t="str">
        <f t="shared" si="9"/>
        <v/>
      </c>
      <c r="O26" s="229" t="str">
        <f t="shared" si="21"/>
        <v/>
      </c>
      <c r="Q26" s="91" t="s">
        <v>14</v>
      </c>
      <c r="R26" s="90" t="str">
        <f t="shared" si="10"/>
        <v>ED1P1</v>
      </c>
      <c r="S26" s="88"/>
      <c r="T26" s="117">
        <f t="shared" si="11"/>
        <v>1</v>
      </c>
      <c r="U26" s="88"/>
      <c r="V26" s="117">
        <f t="shared" si="12"/>
        <v>1</v>
      </c>
      <c r="W26" s="90" t="str">
        <f t="shared" si="13"/>
        <v>IIC1P1</v>
      </c>
      <c r="X26" s="122"/>
      <c r="Y26" s="51"/>
      <c r="Z26" s="117">
        <f t="shared" si="14"/>
        <v>1</v>
      </c>
      <c r="AA26" s="51"/>
      <c r="AB26" s="117">
        <f t="shared" si="15"/>
        <v>1</v>
      </c>
      <c r="AC26" s="121"/>
      <c r="AD26" s="117" t="str">
        <f t="shared" si="22"/>
        <v/>
      </c>
      <c r="AE26" s="124" t="str">
        <f t="shared" si="23"/>
        <v/>
      </c>
      <c r="AF26" s="165">
        <v>0</v>
      </c>
      <c r="AG26" s="124" t="str">
        <f t="shared" si="24"/>
        <v>;0</v>
      </c>
      <c r="AH26" s="124">
        <f t="shared" si="16"/>
        <v>18</v>
      </c>
      <c r="AI26" s="165">
        <v>0</v>
      </c>
      <c r="AJ26" s="124" t="str">
        <f t="shared" si="25"/>
        <v>;0</v>
      </c>
      <c r="AK26" s="124">
        <f t="shared" si="17"/>
        <v>18</v>
      </c>
    </row>
    <row r="27" spans="1:37" s="53" customFormat="1" hidden="1" x14ac:dyDescent="0.2">
      <c r="A27" s="187">
        <f t="shared" si="1"/>
        <v>10</v>
      </c>
      <c r="B27" s="227"/>
      <c r="C27" s="188"/>
      <c r="D27" s="188" t="str">
        <f t="shared" si="18"/>
        <v/>
      </c>
      <c r="E27" s="188" t="str">
        <f t="shared" si="19"/>
        <v/>
      </c>
      <c r="F27" s="188" t="str">
        <f t="shared" si="4"/>
        <v/>
      </c>
      <c r="G27" s="188" t="str">
        <f t="shared" si="26"/>
        <v/>
      </c>
      <c r="H27" s="188" t="str">
        <f t="shared" si="6"/>
        <v/>
      </c>
      <c r="I27" s="188" t="str">
        <f t="shared" si="7"/>
        <v/>
      </c>
      <c r="J27" s="189"/>
      <c r="K27" s="189"/>
      <c r="L27" s="197" t="str">
        <f t="shared" si="20"/>
        <v/>
      </c>
      <c r="M27" s="190" t="str">
        <f t="shared" si="8"/>
        <v/>
      </c>
      <c r="N27" s="228" t="str">
        <f t="shared" si="9"/>
        <v/>
      </c>
      <c r="O27" s="229" t="str">
        <f t="shared" si="21"/>
        <v/>
      </c>
      <c r="Q27" s="91" t="s">
        <v>14</v>
      </c>
      <c r="R27" s="90" t="str">
        <f t="shared" si="10"/>
        <v>ED1P1</v>
      </c>
      <c r="S27" s="88"/>
      <c r="T27" s="117">
        <f t="shared" si="11"/>
        <v>1</v>
      </c>
      <c r="U27" s="88"/>
      <c r="V27" s="117">
        <f t="shared" si="12"/>
        <v>1</v>
      </c>
      <c r="W27" s="90" t="str">
        <f t="shared" si="13"/>
        <v>IIC1P1</v>
      </c>
      <c r="X27" s="122"/>
      <c r="Y27" s="51"/>
      <c r="Z27" s="117">
        <f t="shared" si="14"/>
        <v>1</v>
      </c>
      <c r="AA27" s="51"/>
      <c r="AB27" s="117">
        <f t="shared" si="15"/>
        <v>1</v>
      </c>
      <c r="AC27" s="121"/>
      <c r="AD27" s="117" t="str">
        <f t="shared" si="22"/>
        <v/>
      </c>
      <c r="AE27" s="124" t="str">
        <f t="shared" si="23"/>
        <v/>
      </c>
      <c r="AF27" s="165">
        <v>0</v>
      </c>
      <c r="AG27" s="124" t="str">
        <f t="shared" si="24"/>
        <v>;0</v>
      </c>
      <c r="AH27" s="124">
        <f t="shared" si="16"/>
        <v>18</v>
      </c>
      <c r="AI27" s="165">
        <v>0</v>
      </c>
      <c r="AJ27" s="124" t="str">
        <f t="shared" si="25"/>
        <v>;0</v>
      </c>
      <c r="AK27" s="124">
        <f t="shared" si="17"/>
        <v>18</v>
      </c>
    </row>
    <row r="28" spans="1:37" s="53" customFormat="1" hidden="1" x14ac:dyDescent="0.2">
      <c r="A28" s="187">
        <f t="shared" si="1"/>
        <v>11</v>
      </c>
      <c r="B28" s="227"/>
      <c r="C28" s="188"/>
      <c r="D28" s="188" t="str">
        <f t="shared" si="18"/>
        <v/>
      </c>
      <c r="E28" s="188" t="str">
        <f t="shared" si="19"/>
        <v/>
      </c>
      <c r="F28" s="188" t="str">
        <f t="shared" si="4"/>
        <v/>
      </c>
      <c r="G28" s="188" t="str">
        <f t="shared" si="26"/>
        <v/>
      </c>
      <c r="H28" s="188" t="str">
        <f t="shared" si="6"/>
        <v/>
      </c>
      <c r="I28" s="188" t="str">
        <f t="shared" si="7"/>
        <v/>
      </c>
      <c r="J28" s="189"/>
      <c r="K28" s="189"/>
      <c r="L28" s="197" t="str">
        <f t="shared" si="20"/>
        <v/>
      </c>
      <c r="M28" s="190" t="str">
        <f t="shared" si="8"/>
        <v/>
      </c>
      <c r="N28" s="228" t="str">
        <f t="shared" si="9"/>
        <v/>
      </c>
      <c r="O28" s="229" t="str">
        <f t="shared" si="21"/>
        <v/>
      </c>
      <c r="Q28" s="91" t="s">
        <v>14</v>
      </c>
      <c r="R28" s="90" t="str">
        <f t="shared" si="10"/>
        <v>ED1P1</v>
      </c>
      <c r="S28" s="88"/>
      <c r="T28" s="117">
        <f t="shared" si="11"/>
        <v>1</v>
      </c>
      <c r="U28" s="88"/>
      <c r="V28" s="117">
        <f t="shared" si="12"/>
        <v>1</v>
      </c>
      <c r="W28" s="90" t="str">
        <f t="shared" si="13"/>
        <v>IIC1P1</v>
      </c>
      <c r="X28" s="122"/>
      <c r="Y28" s="51"/>
      <c r="Z28" s="117">
        <f t="shared" si="14"/>
        <v>1</v>
      </c>
      <c r="AA28" s="51"/>
      <c r="AB28" s="117">
        <f t="shared" si="15"/>
        <v>1</v>
      </c>
      <c r="AC28" s="121"/>
      <c r="AD28" s="117" t="str">
        <f t="shared" si="22"/>
        <v/>
      </c>
      <c r="AE28" s="124" t="str">
        <f t="shared" si="23"/>
        <v/>
      </c>
      <c r="AF28" s="165">
        <v>0</v>
      </c>
      <c r="AG28" s="124" t="str">
        <f t="shared" si="24"/>
        <v>;0</v>
      </c>
      <c r="AH28" s="124">
        <f t="shared" si="16"/>
        <v>18</v>
      </c>
      <c r="AI28" s="165">
        <v>0</v>
      </c>
      <c r="AJ28" s="124" t="str">
        <f t="shared" si="25"/>
        <v>;0</v>
      </c>
      <c r="AK28" s="124">
        <f t="shared" si="17"/>
        <v>18</v>
      </c>
    </row>
    <row r="29" spans="1:37" s="53" customFormat="1" hidden="1" x14ac:dyDescent="0.2">
      <c r="A29" s="187">
        <f t="shared" si="1"/>
        <v>12</v>
      </c>
      <c r="B29" s="227"/>
      <c r="C29" s="188"/>
      <c r="D29" s="188" t="str">
        <f t="shared" si="18"/>
        <v/>
      </c>
      <c r="E29" s="188" t="str">
        <f t="shared" si="19"/>
        <v/>
      </c>
      <c r="F29" s="188" t="str">
        <f t="shared" si="4"/>
        <v/>
      </c>
      <c r="G29" s="188" t="str">
        <f t="shared" si="26"/>
        <v/>
      </c>
      <c r="H29" s="188" t="str">
        <f t="shared" si="6"/>
        <v/>
      </c>
      <c r="I29" s="188" t="str">
        <f t="shared" si="7"/>
        <v/>
      </c>
      <c r="J29" s="189"/>
      <c r="K29" s="189"/>
      <c r="L29" s="197" t="str">
        <f t="shared" si="20"/>
        <v/>
      </c>
      <c r="M29" s="190" t="str">
        <f t="shared" si="8"/>
        <v/>
      </c>
      <c r="N29" s="228" t="str">
        <f t="shared" si="9"/>
        <v/>
      </c>
      <c r="O29" s="229" t="str">
        <f t="shared" si="21"/>
        <v/>
      </c>
      <c r="Q29" s="91" t="s">
        <v>14</v>
      </c>
      <c r="R29" s="90" t="str">
        <f t="shared" si="10"/>
        <v>ED1P1</v>
      </c>
      <c r="S29" s="88"/>
      <c r="T29" s="117">
        <f t="shared" si="11"/>
        <v>1</v>
      </c>
      <c r="U29" s="88"/>
      <c r="V29" s="117">
        <f t="shared" si="12"/>
        <v>1</v>
      </c>
      <c r="W29" s="90" t="str">
        <f t="shared" si="13"/>
        <v>IIC1P1</v>
      </c>
      <c r="X29" s="122"/>
      <c r="Y29" s="51"/>
      <c r="Z29" s="117">
        <f t="shared" si="14"/>
        <v>1</v>
      </c>
      <c r="AA29" s="51"/>
      <c r="AB29" s="117">
        <f t="shared" si="15"/>
        <v>1</v>
      </c>
      <c r="AC29" s="121"/>
      <c r="AD29" s="117" t="str">
        <f t="shared" si="22"/>
        <v/>
      </c>
      <c r="AE29" s="124" t="str">
        <f t="shared" si="23"/>
        <v/>
      </c>
      <c r="AF29" s="165">
        <v>0</v>
      </c>
      <c r="AG29" s="124" t="str">
        <f t="shared" si="24"/>
        <v>;0</v>
      </c>
      <c r="AH29" s="124">
        <f t="shared" si="16"/>
        <v>18</v>
      </c>
      <c r="AI29" s="165">
        <v>0</v>
      </c>
      <c r="AJ29" s="124" t="str">
        <f t="shared" si="25"/>
        <v>;0</v>
      </c>
      <c r="AK29" s="124">
        <f t="shared" si="17"/>
        <v>18</v>
      </c>
    </row>
    <row r="30" spans="1:37" s="53" customFormat="1" hidden="1" x14ac:dyDescent="0.2">
      <c r="A30" s="187">
        <f t="shared" si="1"/>
        <v>13</v>
      </c>
      <c r="B30" s="227"/>
      <c r="C30" s="188"/>
      <c r="D30" s="188" t="str">
        <f t="shared" si="18"/>
        <v/>
      </c>
      <c r="E30" s="188" t="str">
        <f t="shared" si="19"/>
        <v/>
      </c>
      <c r="F30" s="188" t="str">
        <f t="shared" si="4"/>
        <v/>
      </c>
      <c r="G30" s="188" t="str">
        <f t="shared" si="26"/>
        <v/>
      </c>
      <c r="H30" s="188" t="str">
        <f t="shared" si="6"/>
        <v/>
      </c>
      <c r="I30" s="188" t="str">
        <f t="shared" si="7"/>
        <v/>
      </c>
      <c r="J30" s="189"/>
      <c r="K30" s="189"/>
      <c r="L30" s="197" t="str">
        <f t="shared" si="20"/>
        <v/>
      </c>
      <c r="M30" s="190" t="str">
        <f t="shared" si="8"/>
        <v/>
      </c>
      <c r="N30" s="228" t="str">
        <f t="shared" si="9"/>
        <v/>
      </c>
      <c r="O30" s="229" t="str">
        <f t="shared" si="21"/>
        <v/>
      </c>
      <c r="Q30" s="91" t="s">
        <v>14</v>
      </c>
      <c r="R30" s="90" t="str">
        <f t="shared" si="10"/>
        <v>ED1P1</v>
      </c>
      <c r="S30" s="88"/>
      <c r="T30" s="117">
        <f t="shared" si="11"/>
        <v>1</v>
      </c>
      <c r="U30" s="88"/>
      <c r="V30" s="117">
        <f t="shared" si="12"/>
        <v>1</v>
      </c>
      <c r="W30" s="90" t="str">
        <f t="shared" si="13"/>
        <v>IIC1P1</v>
      </c>
      <c r="X30" s="122"/>
      <c r="Y30" s="51"/>
      <c r="Z30" s="117">
        <f t="shared" si="14"/>
        <v>1</v>
      </c>
      <c r="AA30" s="51"/>
      <c r="AB30" s="117">
        <f t="shared" si="15"/>
        <v>1</v>
      </c>
      <c r="AC30" s="121"/>
      <c r="AD30" s="117" t="str">
        <f t="shared" si="22"/>
        <v/>
      </c>
      <c r="AE30" s="124" t="str">
        <f t="shared" si="23"/>
        <v/>
      </c>
      <c r="AF30" s="165">
        <v>0</v>
      </c>
      <c r="AG30" s="124" t="str">
        <f t="shared" si="24"/>
        <v>;0</v>
      </c>
      <c r="AH30" s="124">
        <f t="shared" si="16"/>
        <v>18</v>
      </c>
      <c r="AI30" s="165">
        <v>0</v>
      </c>
      <c r="AJ30" s="124" t="str">
        <f t="shared" si="25"/>
        <v>;0</v>
      </c>
      <c r="AK30" s="124">
        <f t="shared" si="17"/>
        <v>18</v>
      </c>
    </row>
    <row r="31" spans="1:37" s="53" customFormat="1" hidden="1" x14ac:dyDescent="0.2">
      <c r="A31" s="187">
        <f t="shared" si="1"/>
        <v>14</v>
      </c>
      <c r="B31" s="227"/>
      <c r="C31" s="188"/>
      <c r="D31" s="188" t="str">
        <f t="shared" si="18"/>
        <v/>
      </c>
      <c r="E31" s="188" t="str">
        <f t="shared" si="19"/>
        <v/>
      </c>
      <c r="F31" s="188" t="str">
        <f t="shared" si="4"/>
        <v/>
      </c>
      <c r="G31" s="188" t="str">
        <f t="shared" si="26"/>
        <v/>
      </c>
      <c r="H31" s="188" t="str">
        <f t="shared" si="6"/>
        <v/>
      </c>
      <c r="I31" s="188" t="str">
        <f t="shared" si="7"/>
        <v/>
      </c>
      <c r="J31" s="189"/>
      <c r="K31" s="189"/>
      <c r="L31" s="197" t="str">
        <f t="shared" si="20"/>
        <v/>
      </c>
      <c r="M31" s="190" t="str">
        <f t="shared" si="8"/>
        <v/>
      </c>
      <c r="N31" s="228" t="str">
        <f t="shared" si="9"/>
        <v/>
      </c>
      <c r="O31" s="229" t="str">
        <f t="shared" si="21"/>
        <v/>
      </c>
      <c r="Q31" s="91" t="s">
        <v>14</v>
      </c>
      <c r="R31" s="90" t="str">
        <f t="shared" si="10"/>
        <v>ED1P1</v>
      </c>
      <c r="S31" s="88"/>
      <c r="T31" s="117">
        <f t="shared" si="11"/>
        <v>1</v>
      </c>
      <c r="U31" s="88"/>
      <c r="V31" s="117">
        <f t="shared" si="12"/>
        <v>1</v>
      </c>
      <c r="W31" s="90" t="str">
        <f t="shared" si="13"/>
        <v>IIC1P1</v>
      </c>
      <c r="X31" s="122"/>
      <c r="Y31" s="51"/>
      <c r="Z31" s="117">
        <f t="shared" si="14"/>
        <v>1</v>
      </c>
      <c r="AA31" s="51"/>
      <c r="AB31" s="117">
        <f t="shared" si="15"/>
        <v>1</v>
      </c>
      <c r="AC31" s="121"/>
      <c r="AD31" s="117" t="str">
        <f t="shared" si="22"/>
        <v/>
      </c>
      <c r="AE31" s="124" t="str">
        <f t="shared" si="23"/>
        <v/>
      </c>
      <c r="AF31" s="165">
        <v>0</v>
      </c>
      <c r="AG31" s="124" t="str">
        <f t="shared" si="24"/>
        <v>;0</v>
      </c>
      <c r="AH31" s="124">
        <f t="shared" si="16"/>
        <v>18</v>
      </c>
      <c r="AI31" s="165">
        <v>0</v>
      </c>
      <c r="AJ31" s="124" t="str">
        <f t="shared" si="25"/>
        <v>;0</v>
      </c>
      <c r="AK31" s="124">
        <f t="shared" si="17"/>
        <v>18</v>
      </c>
    </row>
    <row r="32" spans="1:37" s="53" customFormat="1" hidden="1" x14ac:dyDescent="0.2">
      <c r="A32" s="187">
        <f t="shared" si="1"/>
        <v>15</v>
      </c>
      <c r="B32" s="227"/>
      <c r="C32" s="188"/>
      <c r="D32" s="188" t="str">
        <f t="shared" si="18"/>
        <v/>
      </c>
      <c r="E32" s="188" t="str">
        <f t="shared" si="19"/>
        <v/>
      </c>
      <c r="F32" s="188" t="str">
        <f t="shared" si="4"/>
        <v/>
      </c>
      <c r="G32" s="188" t="str">
        <f t="shared" si="26"/>
        <v/>
      </c>
      <c r="H32" s="188" t="str">
        <f t="shared" si="6"/>
        <v/>
      </c>
      <c r="I32" s="188" t="str">
        <f t="shared" si="7"/>
        <v/>
      </c>
      <c r="J32" s="189"/>
      <c r="K32" s="189"/>
      <c r="L32" s="197" t="str">
        <f t="shared" si="20"/>
        <v/>
      </c>
      <c r="M32" s="190" t="str">
        <f t="shared" si="8"/>
        <v/>
      </c>
      <c r="N32" s="228" t="str">
        <f t="shared" si="9"/>
        <v/>
      </c>
      <c r="O32" s="229" t="str">
        <f t="shared" si="21"/>
        <v/>
      </c>
      <c r="Q32" s="91" t="s">
        <v>14</v>
      </c>
      <c r="R32" s="90" t="str">
        <f t="shared" si="10"/>
        <v>ED1P1</v>
      </c>
      <c r="S32" s="88"/>
      <c r="T32" s="117">
        <f t="shared" si="11"/>
        <v>1</v>
      </c>
      <c r="U32" s="88"/>
      <c r="V32" s="117">
        <f t="shared" si="12"/>
        <v>1</v>
      </c>
      <c r="W32" s="90" t="str">
        <f t="shared" si="13"/>
        <v>IIC1P1</v>
      </c>
      <c r="X32" s="122"/>
      <c r="Y32" s="51"/>
      <c r="Z32" s="117">
        <f t="shared" si="14"/>
        <v>1</v>
      </c>
      <c r="AA32" s="51"/>
      <c r="AB32" s="117">
        <f t="shared" si="15"/>
        <v>1</v>
      </c>
      <c r="AC32" s="121"/>
      <c r="AD32" s="117" t="str">
        <f t="shared" si="22"/>
        <v/>
      </c>
      <c r="AE32" s="124" t="str">
        <f t="shared" si="23"/>
        <v/>
      </c>
      <c r="AF32" s="165">
        <v>0</v>
      </c>
      <c r="AG32" s="124" t="str">
        <f t="shared" si="24"/>
        <v>;0</v>
      </c>
      <c r="AH32" s="124">
        <f t="shared" si="16"/>
        <v>18</v>
      </c>
      <c r="AI32" s="165">
        <v>0</v>
      </c>
      <c r="AJ32" s="124" t="str">
        <f t="shared" si="25"/>
        <v>;0</v>
      </c>
      <c r="AK32" s="124">
        <f t="shared" si="17"/>
        <v>18</v>
      </c>
    </row>
    <row r="33" spans="1:37" s="53" customFormat="1" hidden="1" x14ac:dyDescent="0.2">
      <c r="A33" s="187">
        <f t="shared" ref="A33:A39" si="28">ROW()-MEHARI_1st+1</f>
        <v>16</v>
      </c>
      <c r="B33" s="227"/>
      <c r="C33" s="188"/>
      <c r="D33" s="188" t="str">
        <f t="shared" si="18"/>
        <v/>
      </c>
      <c r="E33" s="188" t="str">
        <f t="shared" si="19"/>
        <v/>
      </c>
      <c r="F33" s="188" t="str">
        <f t="shared" ref="F33:F39" si="29">CONCATENATE(IF(Y33="","",IF(MEHARI_Short_Long=0,VLOOKUP(Y33,M_PROT_DB,1,FALSE),VLOOKUP(Y33,M_PROT_DB,2,FALSE))))</f>
        <v/>
      </c>
      <c r="G33" s="188" t="str">
        <f t="shared" si="26"/>
        <v/>
      </c>
      <c r="H33" s="188" t="str">
        <f t="shared" ref="H33:H39" si="30">IFERROR(VLOOKUP(AC33,M_Scenario_DB,2,FALSE),"")</f>
        <v/>
      </c>
      <c r="I33" s="188" t="str">
        <f t="shared" ref="I33:I39" si="31">IFERROR(VLOOKUP(X33,M_Scenrio_CIA,2,FALSE),"")</f>
        <v/>
      </c>
      <c r="J33" s="189"/>
      <c r="K33" s="189"/>
      <c r="L33" s="197" t="str">
        <f t="shared" si="20"/>
        <v/>
      </c>
      <c r="M33" s="190" t="str">
        <f t="shared" si="8"/>
        <v/>
      </c>
      <c r="N33" s="228" t="str">
        <f t="shared" si="9"/>
        <v/>
      </c>
      <c r="O33" s="229" t="str">
        <f t="shared" si="21"/>
        <v/>
      </c>
      <c r="Q33" s="91" t="s">
        <v>14</v>
      </c>
      <c r="R33" s="90" t="str">
        <f t="shared" ref="R33:R39" si="32">CONCATENATE(IF(H33=M_accident,"A",IF(H33=M_error,"E",IF(H33=M_voluntary_action,"V",""))),"E",J33,"D",T33,"P",V33)</f>
        <v>ED1P1</v>
      </c>
      <c r="S33" s="88"/>
      <c r="T33" s="117">
        <f t="shared" si="11"/>
        <v>1</v>
      </c>
      <c r="U33" s="88"/>
      <c r="V33" s="117">
        <f t="shared" si="12"/>
        <v>1</v>
      </c>
      <c r="W33" s="90" t="str">
        <f t="shared" si="13"/>
        <v>IIC1P1</v>
      </c>
      <c r="X33" s="122"/>
      <c r="Y33" s="51"/>
      <c r="Z33" s="117">
        <f t="shared" si="14"/>
        <v>1</v>
      </c>
      <c r="AA33" s="51"/>
      <c r="AB33" s="117">
        <f t="shared" si="15"/>
        <v>1</v>
      </c>
      <c r="AC33" s="121"/>
      <c r="AD33" s="117" t="str">
        <f t="shared" si="22"/>
        <v/>
      </c>
      <c r="AE33" s="124" t="str">
        <f t="shared" si="23"/>
        <v/>
      </c>
      <c r="AF33" s="165">
        <v>0</v>
      </c>
      <c r="AG33" s="124" t="str">
        <f t="shared" si="24"/>
        <v>;0</v>
      </c>
      <c r="AH33" s="124">
        <f t="shared" si="16"/>
        <v>18</v>
      </c>
      <c r="AI33" s="165">
        <v>0</v>
      </c>
      <c r="AJ33" s="124" t="str">
        <f t="shared" si="25"/>
        <v>;0</v>
      </c>
      <c r="AK33" s="124">
        <f t="shared" si="17"/>
        <v>18</v>
      </c>
    </row>
    <row r="34" spans="1:37" s="53" customFormat="1" hidden="1" x14ac:dyDescent="0.2">
      <c r="A34" s="187">
        <f t="shared" si="28"/>
        <v>17</v>
      </c>
      <c r="B34" s="227"/>
      <c r="C34" s="188"/>
      <c r="D34" s="188" t="str">
        <f t="shared" si="18"/>
        <v/>
      </c>
      <c r="E34" s="188" t="str">
        <f t="shared" si="19"/>
        <v/>
      </c>
      <c r="F34" s="188" t="str">
        <f t="shared" si="29"/>
        <v/>
      </c>
      <c r="G34" s="188" t="str">
        <f t="shared" ref="G34:G39" si="33">CONCATENATE(IF(AA34="","",IF(MEHARI_Short_Long=0,VLOOKUP(AA34,M_PALL_DB,1,FALSE),VLOOKUP(AA34,M_PALL_DB,2,FALSE))))</f>
        <v/>
      </c>
      <c r="H34" s="188" t="str">
        <f t="shared" si="30"/>
        <v/>
      </c>
      <c r="I34" s="188" t="str">
        <f t="shared" si="31"/>
        <v/>
      </c>
      <c r="J34" s="189"/>
      <c r="K34" s="189"/>
      <c r="L34" s="197" t="str">
        <f t="shared" si="20"/>
        <v/>
      </c>
      <c r="M34" s="190" t="str">
        <f t="shared" si="8"/>
        <v/>
      </c>
      <c r="N34" s="228" t="str">
        <f t="shared" si="9"/>
        <v/>
      </c>
      <c r="O34" s="229" t="str">
        <f t="shared" si="21"/>
        <v/>
      </c>
      <c r="Q34" s="91" t="s">
        <v>14</v>
      </c>
      <c r="R34" s="90" t="str">
        <f t="shared" si="32"/>
        <v>ED1P1</v>
      </c>
      <c r="S34" s="88"/>
      <c r="T34" s="117">
        <f t="shared" si="11"/>
        <v>1</v>
      </c>
      <c r="U34" s="88"/>
      <c r="V34" s="117">
        <f t="shared" si="12"/>
        <v>1</v>
      </c>
      <c r="W34" s="90" t="str">
        <f t="shared" si="13"/>
        <v>IIC1P1</v>
      </c>
      <c r="X34" s="122"/>
      <c r="Y34" s="51"/>
      <c r="Z34" s="117">
        <f t="shared" si="14"/>
        <v>1</v>
      </c>
      <c r="AA34" s="51"/>
      <c r="AB34" s="117">
        <f t="shared" si="15"/>
        <v>1</v>
      </c>
      <c r="AC34" s="121"/>
      <c r="AD34" s="117" t="str">
        <f t="shared" si="22"/>
        <v/>
      </c>
      <c r="AE34" s="124" t="str">
        <f t="shared" si="23"/>
        <v/>
      </c>
      <c r="AF34" s="165">
        <v>0</v>
      </c>
      <c r="AG34" s="124" t="str">
        <f t="shared" si="24"/>
        <v>;0</v>
      </c>
      <c r="AH34" s="124">
        <f t="shared" si="16"/>
        <v>18</v>
      </c>
      <c r="AI34" s="165">
        <v>0</v>
      </c>
      <c r="AJ34" s="124" t="str">
        <f t="shared" si="25"/>
        <v>;0</v>
      </c>
      <c r="AK34" s="124">
        <f t="shared" si="17"/>
        <v>18</v>
      </c>
    </row>
    <row r="35" spans="1:37" s="53" customFormat="1" hidden="1" x14ac:dyDescent="0.2">
      <c r="A35" s="187">
        <f t="shared" si="28"/>
        <v>18</v>
      </c>
      <c r="B35" s="227"/>
      <c r="C35" s="188"/>
      <c r="D35" s="188" t="str">
        <f t="shared" si="18"/>
        <v/>
      </c>
      <c r="E35" s="188" t="str">
        <f t="shared" si="19"/>
        <v/>
      </c>
      <c r="F35" s="188" t="str">
        <f t="shared" si="29"/>
        <v/>
      </c>
      <c r="G35" s="188" t="str">
        <f t="shared" si="33"/>
        <v/>
      </c>
      <c r="H35" s="188" t="str">
        <f t="shared" si="30"/>
        <v/>
      </c>
      <c r="I35" s="188" t="str">
        <f t="shared" si="31"/>
        <v/>
      </c>
      <c r="J35" s="189"/>
      <c r="K35" s="189"/>
      <c r="L35" s="197" t="str">
        <f t="shared" si="20"/>
        <v/>
      </c>
      <c r="M35" s="190" t="str">
        <f t="shared" si="8"/>
        <v/>
      </c>
      <c r="N35" s="228" t="str">
        <f t="shared" si="9"/>
        <v/>
      </c>
      <c r="O35" s="229" t="str">
        <f t="shared" si="21"/>
        <v/>
      </c>
      <c r="Q35" s="91" t="s">
        <v>14</v>
      </c>
      <c r="R35" s="90" t="str">
        <f t="shared" si="32"/>
        <v>ED1P1</v>
      </c>
      <c r="S35" s="88"/>
      <c r="T35" s="117">
        <f t="shared" si="11"/>
        <v>1</v>
      </c>
      <c r="U35" s="88"/>
      <c r="V35" s="117">
        <f t="shared" si="12"/>
        <v>1</v>
      </c>
      <c r="W35" s="90" t="str">
        <f t="shared" si="13"/>
        <v>IIC1P1</v>
      </c>
      <c r="X35" s="122"/>
      <c r="Y35" s="51"/>
      <c r="Z35" s="117">
        <f t="shared" si="14"/>
        <v>1</v>
      </c>
      <c r="AA35" s="51"/>
      <c r="AB35" s="117">
        <f t="shared" si="15"/>
        <v>1</v>
      </c>
      <c r="AC35" s="121"/>
      <c r="AD35" s="117" t="str">
        <f t="shared" si="22"/>
        <v/>
      </c>
      <c r="AE35" s="124" t="str">
        <f t="shared" si="23"/>
        <v/>
      </c>
      <c r="AF35" s="165">
        <v>0</v>
      </c>
      <c r="AG35" s="124" t="str">
        <f t="shared" si="24"/>
        <v>;0</v>
      </c>
      <c r="AH35" s="124">
        <f t="shared" si="16"/>
        <v>18</v>
      </c>
      <c r="AI35" s="165">
        <v>0</v>
      </c>
      <c r="AJ35" s="124" t="str">
        <f t="shared" si="25"/>
        <v>;0</v>
      </c>
      <c r="AK35" s="124">
        <f t="shared" si="17"/>
        <v>18</v>
      </c>
    </row>
    <row r="36" spans="1:37" s="53" customFormat="1" hidden="1" x14ac:dyDescent="0.2">
      <c r="A36" s="187">
        <f t="shared" si="28"/>
        <v>19</v>
      </c>
      <c r="B36" s="227"/>
      <c r="C36" s="188"/>
      <c r="D36" s="188" t="str">
        <f t="shared" si="18"/>
        <v/>
      </c>
      <c r="E36" s="188" t="str">
        <f t="shared" si="19"/>
        <v/>
      </c>
      <c r="F36" s="188" t="str">
        <f t="shared" si="29"/>
        <v/>
      </c>
      <c r="G36" s="188" t="str">
        <f t="shared" si="33"/>
        <v/>
      </c>
      <c r="H36" s="188" t="str">
        <f t="shared" si="30"/>
        <v/>
      </c>
      <c r="I36" s="188" t="str">
        <f t="shared" si="31"/>
        <v/>
      </c>
      <c r="J36" s="189"/>
      <c r="K36" s="189"/>
      <c r="L36" s="197" t="str">
        <f t="shared" si="20"/>
        <v/>
      </c>
      <c r="M36" s="190" t="str">
        <f t="shared" si="8"/>
        <v/>
      </c>
      <c r="N36" s="228" t="str">
        <f t="shared" si="9"/>
        <v/>
      </c>
      <c r="O36" s="229" t="str">
        <f t="shared" si="21"/>
        <v/>
      </c>
      <c r="Q36" s="91" t="s">
        <v>14</v>
      </c>
      <c r="R36" s="90" t="str">
        <f t="shared" si="32"/>
        <v>ED1P1</v>
      </c>
      <c r="S36" s="88"/>
      <c r="T36" s="117">
        <f t="shared" si="11"/>
        <v>1</v>
      </c>
      <c r="U36" s="88"/>
      <c r="V36" s="117">
        <f t="shared" si="12"/>
        <v>1</v>
      </c>
      <c r="W36" s="90" t="str">
        <f t="shared" si="13"/>
        <v>IIC1P1</v>
      </c>
      <c r="X36" s="122"/>
      <c r="Y36" s="51"/>
      <c r="Z36" s="117">
        <f t="shared" si="14"/>
        <v>1</v>
      </c>
      <c r="AA36" s="51"/>
      <c r="AB36" s="117">
        <f t="shared" si="15"/>
        <v>1</v>
      </c>
      <c r="AC36" s="121"/>
      <c r="AD36" s="117" t="str">
        <f t="shared" si="22"/>
        <v/>
      </c>
      <c r="AE36" s="124" t="str">
        <f t="shared" si="23"/>
        <v/>
      </c>
      <c r="AF36" s="165">
        <v>0</v>
      </c>
      <c r="AG36" s="124" t="str">
        <f t="shared" si="24"/>
        <v>;0</v>
      </c>
      <c r="AH36" s="124">
        <f t="shared" si="16"/>
        <v>18</v>
      </c>
      <c r="AI36" s="165">
        <v>0</v>
      </c>
      <c r="AJ36" s="124" t="str">
        <f t="shared" si="25"/>
        <v>;0</v>
      </c>
      <c r="AK36" s="124">
        <f t="shared" si="17"/>
        <v>18</v>
      </c>
    </row>
    <row r="37" spans="1:37" s="53" customFormat="1" hidden="1" x14ac:dyDescent="0.2">
      <c r="A37" s="187">
        <f t="shared" si="28"/>
        <v>20</v>
      </c>
      <c r="B37" s="227"/>
      <c r="C37" s="188"/>
      <c r="D37" s="188" t="str">
        <f t="shared" si="18"/>
        <v/>
      </c>
      <c r="E37" s="188" t="str">
        <f t="shared" si="19"/>
        <v/>
      </c>
      <c r="F37" s="188" t="str">
        <f t="shared" si="29"/>
        <v/>
      </c>
      <c r="G37" s="188" t="str">
        <f t="shared" si="33"/>
        <v/>
      </c>
      <c r="H37" s="188" t="str">
        <f t="shared" si="30"/>
        <v/>
      </c>
      <c r="I37" s="188" t="str">
        <f t="shared" si="31"/>
        <v/>
      </c>
      <c r="J37" s="189"/>
      <c r="K37" s="189"/>
      <c r="L37" s="197" t="str">
        <f t="shared" si="20"/>
        <v/>
      </c>
      <c r="M37" s="190" t="str">
        <f t="shared" si="8"/>
        <v/>
      </c>
      <c r="N37" s="228" t="str">
        <f t="shared" si="9"/>
        <v/>
      </c>
      <c r="O37" s="229" t="str">
        <f t="shared" si="21"/>
        <v/>
      </c>
      <c r="Q37" s="91" t="s">
        <v>14</v>
      </c>
      <c r="R37" s="90" t="str">
        <f t="shared" si="32"/>
        <v>ED1P1</v>
      </c>
      <c r="S37" s="88"/>
      <c r="T37" s="117">
        <f t="shared" si="11"/>
        <v>1</v>
      </c>
      <c r="U37" s="88"/>
      <c r="V37" s="117">
        <f t="shared" si="12"/>
        <v>1</v>
      </c>
      <c r="W37" s="90" t="str">
        <f t="shared" si="13"/>
        <v>IIC1P1</v>
      </c>
      <c r="X37" s="122"/>
      <c r="Y37" s="51"/>
      <c r="Z37" s="117">
        <f t="shared" si="14"/>
        <v>1</v>
      </c>
      <c r="AA37" s="51"/>
      <c r="AB37" s="117">
        <f t="shared" si="15"/>
        <v>1</v>
      </c>
      <c r="AC37" s="121"/>
      <c r="AD37" s="117" t="str">
        <f t="shared" si="22"/>
        <v/>
      </c>
      <c r="AE37" s="124" t="str">
        <f t="shared" si="23"/>
        <v/>
      </c>
      <c r="AF37" s="165">
        <v>0</v>
      </c>
      <c r="AG37" s="124" t="str">
        <f t="shared" si="24"/>
        <v>;0</v>
      </c>
      <c r="AH37" s="124">
        <f t="shared" si="16"/>
        <v>18</v>
      </c>
      <c r="AI37" s="165">
        <v>0</v>
      </c>
      <c r="AJ37" s="124" t="str">
        <f t="shared" si="25"/>
        <v>;0</v>
      </c>
      <c r="AK37" s="124">
        <f t="shared" si="17"/>
        <v>18</v>
      </c>
    </row>
    <row r="38" spans="1:37" s="53" customFormat="1" hidden="1" x14ac:dyDescent="0.2">
      <c r="A38" s="199">
        <f t="shared" si="28"/>
        <v>21</v>
      </c>
      <c r="B38" s="230"/>
      <c r="C38" s="200"/>
      <c r="D38" s="200" t="str">
        <f t="shared" si="18"/>
        <v/>
      </c>
      <c r="E38" s="200" t="str">
        <f t="shared" si="19"/>
        <v/>
      </c>
      <c r="F38" s="200" t="str">
        <f t="shared" si="29"/>
        <v/>
      </c>
      <c r="G38" s="200" t="str">
        <f t="shared" si="33"/>
        <v/>
      </c>
      <c r="H38" s="200" t="str">
        <f t="shared" si="30"/>
        <v/>
      </c>
      <c r="I38" s="200" t="str">
        <f t="shared" si="31"/>
        <v/>
      </c>
      <c r="J38" s="201"/>
      <c r="K38" s="201"/>
      <c r="L38" s="203" t="str">
        <f t="shared" si="20"/>
        <v/>
      </c>
      <c r="M38" s="202" t="str">
        <f t="shared" si="8"/>
        <v/>
      </c>
      <c r="N38" s="231" t="str">
        <f t="shared" si="9"/>
        <v/>
      </c>
      <c r="O38" s="232" t="str">
        <f t="shared" si="21"/>
        <v/>
      </c>
      <c r="Q38" s="91" t="s">
        <v>14</v>
      </c>
      <c r="R38" s="90" t="str">
        <f t="shared" si="32"/>
        <v>ED1P1</v>
      </c>
      <c r="S38" s="88"/>
      <c r="T38" s="117">
        <f t="shared" si="11"/>
        <v>1</v>
      </c>
      <c r="U38" s="88"/>
      <c r="V38" s="117">
        <f t="shared" si="12"/>
        <v>1</v>
      </c>
      <c r="W38" s="90" t="str">
        <f t="shared" si="13"/>
        <v>IIC1P1</v>
      </c>
      <c r="X38" s="122"/>
      <c r="Y38" s="51"/>
      <c r="Z38" s="117">
        <f t="shared" si="14"/>
        <v>1</v>
      </c>
      <c r="AA38" s="51"/>
      <c r="AB38" s="117">
        <f t="shared" si="15"/>
        <v>1</v>
      </c>
      <c r="AC38" s="121"/>
      <c r="AD38" s="117" t="str">
        <f t="shared" si="22"/>
        <v/>
      </c>
      <c r="AE38" s="124" t="str">
        <f t="shared" si="23"/>
        <v/>
      </c>
      <c r="AF38" s="165">
        <v>0</v>
      </c>
      <c r="AG38" s="124" t="str">
        <f t="shared" si="24"/>
        <v>;0</v>
      </c>
      <c r="AH38" s="124">
        <f t="shared" si="16"/>
        <v>18</v>
      </c>
      <c r="AI38" s="165">
        <v>0</v>
      </c>
      <c r="AJ38" s="124" t="str">
        <f t="shared" si="25"/>
        <v>;0</v>
      </c>
      <c r="AK38" s="124">
        <f t="shared" si="17"/>
        <v>18</v>
      </c>
    </row>
    <row r="39" spans="1:37" s="53" customFormat="1" ht="13.5" hidden="1" thickBot="1" x14ac:dyDescent="0.25">
      <c r="A39" s="191">
        <f t="shared" si="28"/>
        <v>22</v>
      </c>
      <c r="B39" s="233"/>
      <c r="C39" s="192"/>
      <c r="D39" s="192" t="str">
        <f t="shared" si="18"/>
        <v/>
      </c>
      <c r="E39" s="192" t="str">
        <f t="shared" si="19"/>
        <v/>
      </c>
      <c r="F39" s="192" t="str">
        <f t="shared" si="29"/>
        <v/>
      </c>
      <c r="G39" s="192" t="str">
        <f t="shared" si="33"/>
        <v/>
      </c>
      <c r="H39" s="192" t="str">
        <f t="shared" si="30"/>
        <v/>
      </c>
      <c r="I39" s="192" t="str">
        <f t="shared" si="31"/>
        <v/>
      </c>
      <c r="J39" s="193"/>
      <c r="K39" s="193"/>
      <c r="L39" s="198" t="str">
        <f t="shared" si="20"/>
        <v/>
      </c>
      <c r="M39" s="194" t="str">
        <f t="shared" si="8"/>
        <v/>
      </c>
      <c r="N39" s="234" t="str">
        <f t="shared" si="9"/>
        <v/>
      </c>
      <c r="O39" s="235" t="str">
        <f t="shared" si="21"/>
        <v/>
      </c>
      <c r="Q39" s="91" t="s">
        <v>14</v>
      </c>
      <c r="R39" s="90" t="str">
        <f t="shared" si="32"/>
        <v>ED1P1</v>
      </c>
      <c r="S39" s="88"/>
      <c r="T39" s="117">
        <f t="shared" si="11"/>
        <v>1</v>
      </c>
      <c r="U39" s="88"/>
      <c r="V39" s="117">
        <f t="shared" si="12"/>
        <v>1</v>
      </c>
      <c r="W39" s="90" t="str">
        <f t="shared" si="13"/>
        <v>IIC1P1</v>
      </c>
      <c r="X39" s="122"/>
      <c r="Y39" s="51"/>
      <c r="Z39" s="117">
        <f t="shared" si="14"/>
        <v>1</v>
      </c>
      <c r="AA39" s="51"/>
      <c r="AB39" s="117">
        <f t="shared" si="15"/>
        <v>1</v>
      </c>
      <c r="AC39" s="121"/>
      <c r="AD39" s="117" t="str">
        <f t="shared" si="22"/>
        <v/>
      </c>
      <c r="AE39" s="124" t="str">
        <f t="shared" si="23"/>
        <v/>
      </c>
      <c r="AF39" s="165">
        <v>0</v>
      </c>
      <c r="AG39" s="124" t="str">
        <f t="shared" si="24"/>
        <v>;0</v>
      </c>
      <c r="AH39" s="124">
        <f t="shared" si="16"/>
        <v>18</v>
      </c>
      <c r="AI39" s="165">
        <v>0</v>
      </c>
      <c r="AJ39" s="124" t="str">
        <f t="shared" si="25"/>
        <v>;0</v>
      </c>
      <c r="AK39" s="124">
        <f t="shared" si="17"/>
        <v>18</v>
      </c>
    </row>
    <row r="40" spans="1:37" hidden="1" x14ac:dyDescent="0.25">
      <c r="A40" s="40"/>
      <c r="B40" s="97" t="s">
        <v>414</v>
      </c>
      <c r="C40" s="40"/>
      <c r="D40" s="40"/>
      <c r="E40" s="40"/>
      <c r="F40" s="40"/>
      <c r="G40" s="40"/>
      <c r="H40" s="40"/>
      <c r="I40" s="40"/>
      <c r="J40" s="27"/>
      <c r="K40" s="27"/>
      <c r="L40" s="27"/>
      <c r="M40" s="27"/>
      <c r="N40" s="27"/>
      <c r="O40" s="27"/>
      <c r="Q40" s="98" t="s">
        <v>171</v>
      </c>
    </row>
  </sheetData>
  <sheetProtection sheet="1" formatCells="0" formatColumns="0" formatRows="0" insertColumns="0" insertRows="0" insertHyperlinks="0" deleteColumns="0" deleteRows="0" sort="0" autoFilter="0" pivotTables="0"/>
  <autoFilter ref="A17:Q40">
    <filterColumn colId="1">
      <customFilters>
        <customFilter operator="notEqual" val=" "/>
      </customFilters>
    </filterColumn>
    <filterColumn colId="16">
      <filters>
        <filter val="Ja"/>
      </filters>
    </filterColumn>
  </autoFilter>
  <mergeCells count="8">
    <mergeCell ref="AF16:AH16"/>
    <mergeCell ref="AI16:AK16"/>
    <mergeCell ref="D3:E3"/>
    <mergeCell ref="D4:E4"/>
    <mergeCell ref="J15:L15"/>
    <mergeCell ref="M15:O15"/>
    <mergeCell ref="J16:L16"/>
    <mergeCell ref="M16:O16"/>
  </mergeCells>
  <conditionalFormatting sqref="A18:O18">
    <cfRule type="expression" dxfId="28" priority="22" stopIfTrue="1">
      <formula>MOD(SUBTOTAL(3,$A$18:$A18),2)=1</formula>
    </cfRule>
  </conditionalFormatting>
  <conditionalFormatting sqref="A19:O19">
    <cfRule type="expression" dxfId="27" priority="21" stopIfTrue="1">
      <formula>MOD(SUBTOTAL(3,$A$18:$A19),2)=1</formula>
    </cfRule>
  </conditionalFormatting>
  <conditionalFormatting sqref="A20:O20">
    <cfRule type="expression" dxfId="26" priority="20" stopIfTrue="1">
      <formula>MOD(SUBTOTAL(3,$A$18:$A20),2)=1</formula>
    </cfRule>
  </conditionalFormatting>
  <conditionalFormatting sqref="A21:O21">
    <cfRule type="expression" dxfId="25" priority="19" stopIfTrue="1">
      <formula>MOD(SUBTOTAL(3,$A$18:$A21),2)=1</formula>
    </cfRule>
  </conditionalFormatting>
  <conditionalFormatting sqref="A22:O22">
    <cfRule type="expression" dxfId="24" priority="18" stopIfTrue="1">
      <formula>MOD(SUBTOTAL(3,$A$18:$A22),2)=1</formula>
    </cfRule>
  </conditionalFormatting>
  <conditionalFormatting sqref="A23:O23">
    <cfRule type="expression" dxfId="23" priority="17" stopIfTrue="1">
      <formula>MOD(SUBTOTAL(3,$A$18:$A23),2)=1</formula>
    </cfRule>
  </conditionalFormatting>
  <conditionalFormatting sqref="A24:O24">
    <cfRule type="expression" dxfId="22" priority="16" stopIfTrue="1">
      <formula>MOD(SUBTOTAL(3,$A$18:$A24),2)=1</formula>
    </cfRule>
  </conditionalFormatting>
  <conditionalFormatting sqref="A25:O25">
    <cfRule type="expression" dxfId="21" priority="15" stopIfTrue="1">
      <formula>MOD(SUBTOTAL(3,$A$18:$A25),2)=1</formula>
    </cfRule>
  </conditionalFormatting>
  <conditionalFormatting sqref="A26:O26">
    <cfRule type="expression" dxfId="20" priority="14" stopIfTrue="1">
      <formula>MOD(SUBTOTAL(3,$A$18:$A26),2)=1</formula>
    </cfRule>
  </conditionalFormatting>
  <conditionalFormatting sqref="A27:O27">
    <cfRule type="expression" dxfId="19" priority="13" stopIfTrue="1">
      <formula>MOD(SUBTOTAL(3,$A$18:$A27),2)=1</formula>
    </cfRule>
  </conditionalFormatting>
  <conditionalFormatting sqref="A28:O28">
    <cfRule type="expression" dxfId="18" priority="12" stopIfTrue="1">
      <formula>MOD(SUBTOTAL(3,$A$18:$A28),2)=1</formula>
    </cfRule>
  </conditionalFormatting>
  <conditionalFormatting sqref="A29:O29">
    <cfRule type="expression" dxfId="17" priority="11" stopIfTrue="1">
      <formula>MOD(SUBTOTAL(3,$A$18:$A29),2)=1</formula>
    </cfRule>
  </conditionalFormatting>
  <conditionalFormatting sqref="A30:O30">
    <cfRule type="expression" dxfId="16" priority="10" stopIfTrue="1">
      <formula>MOD(SUBTOTAL(3,$A$18:$A30),2)=1</formula>
    </cfRule>
  </conditionalFormatting>
  <conditionalFormatting sqref="A31:O31">
    <cfRule type="expression" dxfId="15" priority="9" stopIfTrue="1">
      <formula>MOD(SUBTOTAL(3,$A$18:$A31),2)=1</formula>
    </cfRule>
  </conditionalFormatting>
  <conditionalFormatting sqref="A32:O32">
    <cfRule type="expression" dxfId="14" priority="8" stopIfTrue="1">
      <formula>MOD(SUBTOTAL(3,$A$18:$A32),2)=1</formula>
    </cfRule>
  </conditionalFormatting>
  <conditionalFormatting sqref="A33:O33">
    <cfRule type="expression" dxfId="13" priority="7" stopIfTrue="1">
      <formula>MOD(SUBTOTAL(3,$A$18:$A33),2)=1</formula>
    </cfRule>
  </conditionalFormatting>
  <conditionalFormatting sqref="A34:O34">
    <cfRule type="expression" dxfId="12" priority="6" stopIfTrue="1">
      <formula>MOD(SUBTOTAL(3,$A$18:$A34),2)=1</formula>
    </cfRule>
  </conditionalFormatting>
  <conditionalFormatting sqref="A35:O35">
    <cfRule type="expression" dxfId="11" priority="5" stopIfTrue="1">
      <formula>MOD(SUBTOTAL(3,$A$18:$A35),2)=1</formula>
    </cfRule>
  </conditionalFormatting>
  <conditionalFormatting sqref="A36:O36">
    <cfRule type="expression" dxfId="10" priority="4" stopIfTrue="1">
      <formula>MOD(SUBTOTAL(3,$A$18:$A36),2)=1</formula>
    </cfRule>
  </conditionalFormatting>
  <conditionalFormatting sqref="A37:O37">
    <cfRule type="expression" dxfId="9" priority="3" stopIfTrue="1">
      <formula>MOD(SUBTOTAL(3,$A$18:$A37),2)=1</formula>
    </cfRule>
  </conditionalFormatting>
  <conditionalFormatting sqref="A38:O38">
    <cfRule type="expression" dxfId="8" priority="2" stopIfTrue="1">
      <formula>MOD(SUBTOTAL(3,$A$18:$A38),2)=1</formula>
    </cfRule>
  </conditionalFormatting>
  <conditionalFormatting sqref="A39:O39">
    <cfRule type="expression" dxfId="7" priority="1" stopIfTrue="1">
      <formula>MOD(SUBTOTAL(3,$A$18:$A39),2)=1</formula>
    </cfRule>
  </conditionalFormatting>
  <dataValidations disablePrompts="1" count="1">
    <dataValidation type="list" allowBlank="1" showInputMessage="1" showErrorMessage="1" sqref="Q18:Q39">
      <formula1>Yes_No_DB</formula1>
    </dataValidation>
  </dataValidations>
  <pageMargins left="0.23622047244094491" right="0.23622047244094491" top="0.74803149606299213" bottom="0.74803149606299213" header="0.31496062992125984" footer="0.31496062992125984"/>
  <pageSetup paperSize="8" orientation="landscape" r:id="rId1"/>
  <headerFooter scaleWithDoc="0">
    <oddHeader>&amp;LAuditor: Micha Schönenberger&amp;CTEST 1234&amp;RIoT Risk Assessment</oddHeader>
    <oddFooter>&amp;LKunde: Rolf Huber&amp;C18.07.2015&amp;RSeite &amp;P/&amp;N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6" tint="-0.249977111117893"/>
    <pageSetUpPr fitToPage="1"/>
  </sheetPr>
  <dimension ref="A1:U47"/>
  <sheetViews>
    <sheetView view="pageBreakPreview" topLeftCell="A15" zoomScale="85" zoomScaleNormal="100" zoomScaleSheetLayoutView="85" workbookViewId="0">
      <selection activeCell="P32" sqref="P32"/>
    </sheetView>
  </sheetViews>
  <sheetFormatPr baseColWidth="10" defaultRowHeight="15" outlineLevelRow="1" x14ac:dyDescent="0.25"/>
  <cols>
    <col min="1" max="1" width="24.28515625" bestFit="1" customWidth="1"/>
    <col min="2" max="2" width="12" bestFit="1" customWidth="1"/>
  </cols>
  <sheetData>
    <row r="1" spans="1:2" hidden="1" outlineLevel="1" x14ac:dyDescent="0.25"/>
    <row r="2" spans="1:2" ht="21" hidden="1" outlineLevel="1" x14ac:dyDescent="0.35">
      <c r="A2" s="8" t="s">
        <v>9</v>
      </c>
    </row>
    <row r="3" spans="1:2" ht="15.75" hidden="1" outlineLevel="1" x14ac:dyDescent="0.25">
      <c r="A3" s="28" t="str">
        <f>VLOOKUP(7012,LANGUAGE_DB,2)</f>
        <v>MEHARI Einstellungen</v>
      </c>
    </row>
    <row r="4" spans="1:2" hidden="1" outlineLevel="1" x14ac:dyDescent="0.25">
      <c r="A4" t="str">
        <f>VLOOKUP(6024,LANGUAGE_DB,2,FALSE)</f>
        <v>Matrix Titel</v>
      </c>
      <c r="B4" t="str">
        <f>VLOOKUP(7000,LANGUAGE_DB,2,FALSE)</f>
        <v>MEHARI Risiko Matrix - ohne Massnahmen</v>
      </c>
    </row>
    <row r="5" spans="1:2" hidden="1" outlineLevel="1" x14ac:dyDescent="0.25">
      <c r="A5" t="str">
        <f>VLOOKUP(6025,LANGUAGE_DB,2,FALSE)</f>
        <v>X-Achse</v>
      </c>
      <c r="B5" t="str">
        <f>VLOOKUP(6009,LANGUAGE_DB,2,FALSE)</f>
        <v>Schweregrad</v>
      </c>
    </row>
    <row r="6" spans="1:2" hidden="1" outlineLevel="1" x14ac:dyDescent="0.25">
      <c r="A6" t="str">
        <f>VLOOKUP(6026,LANGUAGE_DB,2,FALSE)</f>
        <v>Y-Achse</v>
      </c>
      <c r="B6" t="str">
        <f>VLOOKUP(6008,LANGUAGE_DB,2,FALSE)</f>
        <v>Auftrittshäufigkeit</v>
      </c>
    </row>
    <row r="7" spans="1:2" hidden="1" outlineLevel="1" x14ac:dyDescent="0.25">
      <c r="A7" t="str">
        <f>VLOOKUP(6024,LANGUAGE_DB,2,FALSE)</f>
        <v>Matrix Titel</v>
      </c>
      <c r="B7" t="str">
        <f>VLOOKUP(7001,LANGUAGE_DB,2,FALSE)</f>
        <v>MEHARI Risiko Matrix - mit Massnahmen</v>
      </c>
    </row>
    <row r="8" spans="1:2" hidden="1" outlineLevel="1" x14ac:dyDescent="0.25"/>
    <row r="9" spans="1:2" hidden="1" outlineLevel="1" x14ac:dyDescent="0.25"/>
    <row r="10" spans="1:2" hidden="1" outlineLevel="1" x14ac:dyDescent="0.25"/>
    <row r="11" spans="1:2" hidden="1" outlineLevel="1" x14ac:dyDescent="0.25"/>
    <row r="12" spans="1:2" hidden="1" outlineLevel="1" x14ac:dyDescent="0.25"/>
    <row r="13" spans="1:2" hidden="1" outlineLevel="1" x14ac:dyDescent="0.25"/>
    <row r="14" spans="1:2" hidden="1" outlineLevel="1" x14ac:dyDescent="0.25"/>
    <row r="15" spans="1:2" collapsed="1" x14ac:dyDescent="0.25"/>
    <row r="17" spans="19:21" x14ac:dyDescent="0.25">
      <c r="S17" t="s">
        <v>98</v>
      </c>
      <c r="T17" t="s">
        <v>97</v>
      </c>
      <c r="U17" t="s">
        <v>99</v>
      </c>
    </row>
    <row r="18" spans="19:21" x14ac:dyDescent="0.25">
      <c r="S18">
        <v>4.5</v>
      </c>
      <c r="T18">
        <v>0</v>
      </c>
      <c r="U18">
        <v>0</v>
      </c>
    </row>
    <row r="19" spans="19:21" x14ac:dyDescent="0.25">
      <c r="S19">
        <v>2.5</v>
      </c>
      <c r="T19">
        <v>1</v>
      </c>
      <c r="U19">
        <v>1</v>
      </c>
    </row>
    <row r="20" spans="19:21" x14ac:dyDescent="0.25">
      <c r="S20">
        <v>1.5</v>
      </c>
      <c r="T20">
        <v>2</v>
      </c>
      <c r="U20">
        <v>1</v>
      </c>
    </row>
    <row r="21" spans="19:21" x14ac:dyDescent="0.25">
      <c r="S21">
        <v>1.5</v>
      </c>
      <c r="T21">
        <v>0</v>
      </c>
      <c r="U21">
        <v>3</v>
      </c>
    </row>
    <row r="47" ht="32.25" customHeight="1" x14ac:dyDescent="0.25"/>
  </sheetData>
  <pageMargins left="0.70866141732283472" right="0.70866141732283472" top="0.78740157480314965" bottom="0.78740157480314965" header="0.31496062992125984" footer="0.31496062992125984"/>
  <pageSetup paperSize="9" scale="75" orientation="landscape" r:id="rId1"/>
  <headerFooter scaleWithDoc="0">
    <oddHeader>&amp;LAuditor: Micha Schönenberger&amp;CTEST 1234&amp;RIoT Risk Assessment</oddHeader>
    <oddFooter>&amp;LKunde: Rolf Huber&amp;C18.07.2015&amp;RSeite &amp;P/&amp;N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tabColor theme="6" tint="-0.249977111117893"/>
  </sheetPr>
  <dimension ref="A1:P46"/>
  <sheetViews>
    <sheetView topLeftCell="A15" zoomScaleNormal="100" zoomScaleSheetLayoutView="85" workbookViewId="0">
      <selection activeCell="A15" sqref="A15"/>
    </sheetView>
  </sheetViews>
  <sheetFormatPr baseColWidth="10" defaultRowHeight="15" outlineLevelRow="1" x14ac:dyDescent="0.25"/>
  <cols>
    <col min="1" max="1" width="10" customWidth="1"/>
    <col min="2" max="2" width="38.85546875" customWidth="1"/>
    <col min="3" max="3" width="46.5703125" customWidth="1"/>
    <col min="4" max="6" width="11.7109375" customWidth="1"/>
    <col min="7" max="7" width="5" customWidth="1"/>
    <col min="8" max="8" width="17.28515625" customWidth="1"/>
    <col min="9" max="9" width="46" style="13" customWidth="1"/>
    <col min="10" max="10" width="46" customWidth="1"/>
    <col min="11" max="13" width="53.5703125" customWidth="1"/>
  </cols>
  <sheetData>
    <row r="1" spans="1:11" ht="18.75" hidden="1" outlineLevel="1" thickBot="1" x14ac:dyDescent="0.3">
      <c r="A1" s="31" t="str">
        <f>VLOOKUP(1003,LANGUAGE_DB,2)</f>
        <v>Einstellungen</v>
      </c>
      <c r="B1" s="47"/>
      <c r="D1" s="49"/>
      <c r="E1" s="49"/>
      <c r="F1" s="49"/>
    </row>
    <row r="2" spans="1:11" ht="15.75" hidden="1" outlineLevel="1" thickBot="1" x14ac:dyDescent="0.3">
      <c r="A2" s="48" t="str">
        <f>VLOOKUP(1004,LANGUAGE_DB,2)</f>
        <v>erster Eintrag in Zeile</v>
      </c>
      <c r="C2" s="46">
        <f>ROW(G17)+1</f>
        <v>18</v>
      </c>
      <c r="D2" s="49"/>
      <c r="E2" s="49"/>
      <c r="F2" s="49"/>
    </row>
    <row r="3" spans="1:11" ht="15.75" hidden="1" outlineLevel="1" thickBot="1" x14ac:dyDescent="0.3">
      <c r="A3" s="48" t="str">
        <f>VLOOKUP(1005,LANGUAGE_DB,2)</f>
        <v>Kurznummer für Liste</v>
      </c>
      <c r="C3" s="46" t="s">
        <v>354</v>
      </c>
      <c r="D3" s="49"/>
      <c r="E3" s="49"/>
      <c r="F3" s="49"/>
    </row>
    <row r="4" spans="1:11" s="128" customFormat="1" ht="15.75" hidden="1" outlineLevel="1" thickBot="1" x14ac:dyDescent="0.3">
      <c r="A4" s="48" t="str">
        <f>VLOOKUP(5065,LANGUAGE_DB,2)</f>
        <v>letzter  Eintrag in Zeile</v>
      </c>
      <c r="C4" s="46">
        <f>ROW(G46)-1</f>
        <v>45</v>
      </c>
      <c r="D4" s="49"/>
      <c r="E4" s="49"/>
      <c r="F4" s="49"/>
      <c r="I4" s="13"/>
    </row>
    <row r="5" spans="1:11" hidden="1" outlineLevel="1" x14ac:dyDescent="0.25">
      <c r="A5" s="48"/>
      <c r="C5" s="49"/>
      <c r="D5" s="49"/>
      <c r="E5" s="49"/>
      <c r="F5" s="49"/>
    </row>
    <row r="6" spans="1:11" hidden="1" outlineLevel="1" x14ac:dyDescent="0.25">
      <c r="A6" s="48"/>
      <c r="C6" s="49"/>
      <c r="D6" s="49"/>
      <c r="E6" s="49"/>
      <c r="F6" s="49"/>
    </row>
    <row r="7" spans="1:11" hidden="1" outlineLevel="1" x14ac:dyDescent="0.25">
      <c r="A7" s="48"/>
      <c r="C7" s="49"/>
      <c r="D7" s="49"/>
      <c r="E7" s="49"/>
      <c r="F7" s="49"/>
    </row>
    <row r="8" spans="1:11" hidden="1" outlineLevel="1" x14ac:dyDescent="0.25">
      <c r="A8" s="48"/>
      <c r="C8" s="49"/>
      <c r="D8" s="49"/>
      <c r="E8" s="49"/>
      <c r="F8" s="49"/>
    </row>
    <row r="9" spans="1:11" hidden="1" outlineLevel="1" x14ac:dyDescent="0.25">
      <c r="A9" s="48"/>
      <c r="C9" s="49"/>
      <c r="D9" s="49"/>
      <c r="E9" s="49"/>
      <c r="F9" s="49"/>
    </row>
    <row r="10" spans="1:11" hidden="1" outlineLevel="1" x14ac:dyDescent="0.25">
      <c r="A10" s="48"/>
      <c r="C10" s="49"/>
      <c r="D10" s="49"/>
      <c r="E10" s="49"/>
      <c r="F10" s="49"/>
    </row>
    <row r="11" spans="1:11" hidden="1" outlineLevel="1" x14ac:dyDescent="0.25">
      <c r="A11" s="48"/>
      <c r="C11" s="49"/>
      <c r="D11" s="49"/>
      <c r="E11" s="49"/>
      <c r="F11" s="49"/>
    </row>
    <row r="12" spans="1:11" hidden="1" outlineLevel="1" x14ac:dyDescent="0.25">
      <c r="A12" s="48"/>
      <c r="C12" s="49"/>
      <c r="D12" s="49"/>
      <c r="E12" s="49"/>
      <c r="F12" s="49"/>
    </row>
    <row r="13" spans="1:11" hidden="1" outlineLevel="1" x14ac:dyDescent="0.25">
      <c r="A13" s="48"/>
      <c r="C13" s="49"/>
      <c r="D13" s="49"/>
      <c r="E13" s="49"/>
      <c r="F13" s="49"/>
    </row>
    <row r="14" spans="1:11" hidden="1" outlineLevel="1" x14ac:dyDescent="0.25">
      <c r="A14" s="48"/>
      <c r="C14" s="49"/>
      <c r="D14" s="49"/>
      <c r="E14" s="49"/>
      <c r="F14" s="49"/>
    </row>
    <row r="15" spans="1:11" ht="18" collapsed="1" x14ac:dyDescent="0.25">
      <c r="A15" s="31" t="str">
        <f>CONCATENATE("DISS_DB - ",VLOOKUP(H15,LANGUAGE_DB,2,FALSE))</f>
        <v>DISS_DB - abschreckende Massnahmen</v>
      </c>
      <c r="C15" s="49"/>
      <c r="D15" s="49"/>
      <c r="E15" s="49"/>
      <c r="F15" s="49"/>
      <c r="H15">
        <v>7023</v>
      </c>
    </row>
    <row r="16" spans="1:11" ht="15.75" thickBot="1" x14ac:dyDescent="0.3">
      <c r="J16" s="24"/>
      <c r="K16" s="24"/>
    </row>
    <row r="17" spans="1:16" ht="31.5" customHeight="1" thickBot="1" x14ac:dyDescent="0.3">
      <c r="A17" s="25" t="str">
        <f>VLOOKUP(5004,LANGUAGE_DB,2)</f>
        <v>Referenz Nummer</v>
      </c>
      <c r="B17" s="26" t="str">
        <f>VLOOKUP(H15,LANGUAGE_DB,2,FALSE)</f>
        <v>abschreckende Massnahmen</v>
      </c>
      <c r="C17" s="25" t="str">
        <f t="shared" ref="C17" si="0">IF(L17="","",IF(Language_chosen=0,L17,M17))</f>
        <v>Beschreibung</v>
      </c>
      <c r="D17" s="173" t="str">
        <f>VLOOKUP(5014,LANGUAGE_DB,2,FALSE)</f>
        <v>vordefinierte Wertung</v>
      </c>
      <c r="E17" s="173" t="str">
        <f>VLOOKUP(5015,LANGUAGE_DB,2,FALSE)</f>
        <v>manuelle Wertung</v>
      </c>
      <c r="F17" s="173" t="str">
        <f>VLOOKUP(5016,LANGUAGE_DB,2,FALSE)</f>
        <v>effektive Wertung</v>
      </c>
      <c r="H17" s="21" t="s">
        <v>104</v>
      </c>
      <c r="I17" s="174" t="str">
        <f>VLOOKUP(5014,LANGUAGE_DB,2,FALSE)</f>
        <v>vordefinierte Wertung</v>
      </c>
      <c r="J17" s="21" t="str">
        <f>CONCATENATE(VLOOKUP(H15,LANGUAGE_DB,2,FALSE)," - DE")</f>
        <v>abschreckende Massnahmen - DE</v>
      </c>
      <c r="K17" s="21" t="str">
        <f>CONCATENATE(VLOOKUP(H15,LANGUAGE_DB,2,FALSE)," - EN")</f>
        <v>abschreckende Massnahmen - EN</v>
      </c>
      <c r="L17" s="21" t="s">
        <v>208</v>
      </c>
      <c r="M17" s="21" t="s">
        <v>209</v>
      </c>
      <c r="N17" s="21"/>
      <c r="O17" s="14"/>
      <c r="P17" s="14"/>
    </row>
    <row r="18" spans="1:16" x14ac:dyDescent="0.25">
      <c r="A18" s="161" t="str">
        <f>CONCATENATE($C$3,IF(LEN(ROW(A18)-$C$2+1)=1,"00",IF(LEN(ROW(A18)-$C$2+1)=2,"0","")),ROW(A18)-$C$2+1)</f>
        <v>DISS001</v>
      </c>
      <c r="B18" s="176" t="str">
        <f t="shared" ref="B18:B45" si="1">IF(J18="","",IF(Language_chosen=0,J18,K18))</f>
        <v>keine</v>
      </c>
      <c r="C18" s="176" t="str">
        <f t="shared" ref="C18:C45" si="2">IF(L18="","",IF(Language_chosen=0,L18,M18))</f>
        <v/>
      </c>
      <c r="D18" s="155">
        <f>IF(I18=0,"",I18)</f>
        <v>1</v>
      </c>
      <c r="E18" s="155"/>
      <c r="F18" s="156">
        <f>IF(E18="",IF(D18="","",D18),E18)</f>
        <v>1</v>
      </c>
      <c r="G18" s="23"/>
      <c r="H18" s="23"/>
      <c r="I18" s="219">
        <v>1</v>
      </c>
      <c r="J18" s="44" t="s">
        <v>566</v>
      </c>
      <c r="K18" s="44" t="s">
        <v>80</v>
      </c>
      <c r="L18" s="44"/>
      <c r="M18" s="44" t="s">
        <v>103</v>
      </c>
    </row>
    <row r="19" spans="1:16" x14ac:dyDescent="0.25">
      <c r="A19" s="162" t="str">
        <f t="shared" ref="A19:A45" si="3">CONCATENATE($C$3,IF(LEN(ROW(A19)-$C$2+1)=1,"00",IF(LEN(ROW(A19)-$C$2+1)=2,"0","")),ROW(A19)-$C$2+1)</f>
        <v>DISS002</v>
      </c>
      <c r="B19" s="177" t="str">
        <f t="shared" si="1"/>
        <v>Installation Videoüberwachung</v>
      </c>
      <c r="C19" s="177" t="str">
        <f t="shared" si="2"/>
        <v/>
      </c>
      <c r="D19" s="157">
        <f t="shared" ref="D19:D22" si="4">IF(I19=0,"",I19)</f>
        <v>3</v>
      </c>
      <c r="E19" s="157"/>
      <c r="F19" s="158">
        <f t="shared" ref="F19:F45" si="5">IF(E19="",IF(D19="","",D19),E19)</f>
        <v>3</v>
      </c>
      <c r="I19" s="219">
        <v>3</v>
      </c>
      <c r="J19" s="44" t="s">
        <v>745</v>
      </c>
      <c r="K19" s="44" t="s">
        <v>746</v>
      </c>
      <c r="L19" s="44"/>
      <c r="M19" s="44"/>
    </row>
    <row r="20" spans="1:16" x14ac:dyDescent="0.25">
      <c r="A20" s="162" t="str">
        <f t="shared" si="3"/>
        <v>DISS003</v>
      </c>
      <c r="B20" s="177" t="str">
        <f t="shared" si="1"/>
        <v>Einschalten detaillierte Logs</v>
      </c>
      <c r="C20" s="177" t="str">
        <f t="shared" si="2"/>
        <v/>
      </c>
      <c r="D20" s="157">
        <f t="shared" si="4"/>
        <v>2</v>
      </c>
      <c r="E20" s="157"/>
      <c r="F20" s="158">
        <f t="shared" si="5"/>
        <v>2</v>
      </c>
      <c r="G20" s="22"/>
      <c r="H20" s="22"/>
      <c r="I20" s="220">
        <v>2</v>
      </c>
      <c r="J20" s="44" t="s">
        <v>747</v>
      </c>
      <c r="K20" s="44" t="s">
        <v>748</v>
      </c>
      <c r="L20" s="45"/>
      <c r="M20" s="45"/>
    </row>
    <row r="21" spans="1:16" ht="30" x14ac:dyDescent="0.25">
      <c r="A21" s="162" t="str">
        <f t="shared" si="3"/>
        <v>DISS004</v>
      </c>
      <c r="B21" s="177" t="str">
        <f t="shared" si="1"/>
        <v>Strafrechtliche Verfolgung bei Entdeckung</v>
      </c>
      <c r="C21" s="177" t="str">
        <f t="shared" si="2"/>
        <v/>
      </c>
      <c r="D21" s="157">
        <f t="shared" si="4"/>
        <v>1</v>
      </c>
      <c r="E21" s="157"/>
      <c r="F21" s="158">
        <f t="shared" si="5"/>
        <v>1</v>
      </c>
      <c r="G21" s="22"/>
      <c r="H21" s="22"/>
      <c r="I21" s="220">
        <v>1</v>
      </c>
      <c r="J21" s="283" t="s">
        <v>817</v>
      </c>
      <c r="K21" s="44" t="s">
        <v>818</v>
      </c>
      <c r="L21" s="45"/>
      <c r="M21" s="45"/>
    </row>
    <row r="22" spans="1:16" x14ac:dyDescent="0.25">
      <c r="A22" s="162" t="str">
        <f t="shared" si="3"/>
        <v>DISS005</v>
      </c>
      <c r="B22" s="177" t="str">
        <f t="shared" si="1"/>
        <v/>
      </c>
      <c r="C22" s="177" t="str">
        <f t="shared" si="2"/>
        <v/>
      </c>
      <c r="D22" s="157" t="str">
        <f t="shared" si="4"/>
        <v/>
      </c>
      <c r="E22" s="157"/>
      <c r="F22" s="158" t="str">
        <f t="shared" si="5"/>
        <v/>
      </c>
      <c r="G22" s="22"/>
      <c r="H22" s="22"/>
      <c r="I22" s="220"/>
      <c r="J22" s="283"/>
      <c r="K22" s="50"/>
      <c r="L22" s="44"/>
      <c r="M22" s="44"/>
    </row>
    <row r="23" spans="1:16" x14ac:dyDescent="0.25">
      <c r="A23" s="162" t="str">
        <f t="shared" si="3"/>
        <v>DISS006</v>
      </c>
      <c r="B23" s="177" t="str">
        <f t="shared" si="1"/>
        <v/>
      </c>
      <c r="C23" s="177" t="str">
        <f t="shared" si="2"/>
        <v/>
      </c>
      <c r="D23" s="157" t="str">
        <f>IF(I23=0,"",I23)</f>
        <v/>
      </c>
      <c r="E23" s="157"/>
      <c r="F23" s="158" t="str">
        <f t="shared" si="5"/>
        <v/>
      </c>
      <c r="G23" s="22"/>
      <c r="H23" s="22"/>
      <c r="I23" s="220"/>
      <c r="J23" s="50"/>
      <c r="K23" s="50"/>
      <c r="L23" s="44"/>
      <c r="M23" s="44"/>
    </row>
    <row r="24" spans="1:16" x14ac:dyDescent="0.25">
      <c r="A24" s="162" t="str">
        <f t="shared" si="3"/>
        <v>DISS007</v>
      </c>
      <c r="B24" s="177" t="str">
        <f t="shared" si="1"/>
        <v/>
      </c>
      <c r="C24" s="177" t="str">
        <f t="shared" si="2"/>
        <v/>
      </c>
      <c r="D24" s="157" t="str">
        <f t="shared" ref="D24:D44" si="6">IF(I24=0,"",I24)</f>
        <v/>
      </c>
      <c r="E24" s="157"/>
      <c r="F24" s="158" t="str">
        <f t="shared" si="5"/>
        <v/>
      </c>
      <c r="G24" s="22"/>
      <c r="H24" s="22"/>
      <c r="I24" s="220"/>
      <c r="J24" s="50"/>
      <c r="K24" s="50"/>
      <c r="L24" s="45"/>
      <c r="M24" s="44"/>
    </row>
    <row r="25" spans="1:16" x14ac:dyDescent="0.25">
      <c r="A25" s="162" t="str">
        <f t="shared" si="3"/>
        <v>DISS008</v>
      </c>
      <c r="B25" s="177" t="str">
        <f t="shared" si="1"/>
        <v/>
      </c>
      <c r="C25" s="177" t="str">
        <f t="shared" si="2"/>
        <v/>
      </c>
      <c r="D25" s="157" t="str">
        <f t="shared" si="6"/>
        <v/>
      </c>
      <c r="E25" s="157"/>
      <c r="F25" s="158" t="str">
        <f t="shared" si="5"/>
        <v/>
      </c>
      <c r="G25" s="22"/>
      <c r="H25" s="22"/>
      <c r="I25" s="220"/>
      <c r="J25" s="50"/>
      <c r="K25" s="50"/>
      <c r="L25" s="45"/>
      <c r="M25" s="45"/>
    </row>
    <row r="26" spans="1:16" x14ac:dyDescent="0.25">
      <c r="A26" s="162" t="str">
        <f t="shared" si="3"/>
        <v>DISS009</v>
      </c>
      <c r="B26" s="177" t="str">
        <f t="shared" si="1"/>
        <v/>
      </c>
      <c r="C26" s="177" t="str">
        <f t="shared" si="2"/>
        <v/>
      </c>
      <c r="D26" s="157" t="str">
        <f t="shared" si="6"/>
        <v/>
      </c>
      <c r="E26" s="157"/>
      <c r="F26" s="158" t="str">
        <f t="shared" si="5"/>
        <v/>
      </c>
      <c r="G26" s="22"/>
      <c r="H26" s="22"/>
      <c r="I26" s="220"/>
      <c r="J26" s="50"/>
      <c r="K26" s="50"/>
      <c r="L26" s="45"/>
      <c r="M26" s="45"/>
    </row>
    <row r="27" spans="1:16" x14ac:dyDescent="0.25">
      <c r="A27" s="162" t="str">
        <f t="shared" si="3"/>
        <v>DISS010</v>
      </c>
      <c r="B27" s="177" t="str">
        <f t="shared" si="1"/>
        <v/>
      </c>
      <c r="C27" s="177" t="str">
        <f t="shared" si="2"/>
        <v/>
      </c>
      <c r="D27" s="157" t="str">
        <f t="shared" si="6"/>
        <v/>
      </c>
      <c r="E27" s="157"/>
      <c r="F27" s="158" t="str">
        <f t="shared" si="5"/>
        <v/>
      </c>
      <c r="G27" s="22"/>
      <c r="H27" s="22"/>
      <c r="I27" s="220"/>
      <c r="J27" s="50"/>
      <c r="K27" s="50"/>
      <c r="L27" s="45"/>
      <c r="M27" s="45"/>
    </row>
    <row r="28" spans="1:16" x14ac:dyDescent="0.25">
      <c r="A28" s="162" t="str">
        <f t="shared" si="3"/>
        <v>DISS011</v>
      </c>
      <c r="B28" s="177" t="str">
        <f t="shared" si="1"/>
        <v/>
      </c>
      <c r="C28" s="177" t="str">
        <f t="shared" si="2"/>
        <v/>
      </c>
      <c r="D28" s="157" t="str">
        <f t="shared" si="6"/>
        <v/>
      </c>
      <c r="E28" s="157"/>
      <c r="F28" s="158" t="str">
        <f t="shared" si="5"/>
        <v/>
      </c>
      <c r="G28" s="22"/>
      <c r="H28" s="22"/>
      <c r="I28" s="220"/>
      <c r="J28" s="283"/>
      <c r="K28" s="23"/>
      <c r="L28" s="45"/>
      <c r="M28" s="45"/>
    </row>
    <row r="29" spans="1:16" x14ac:dyDescent="0.25">
      <c r="A29" s="162" t="str">
        <f t="shared" si="3"/>
        <v>DISS012</v>
      </c>
      <c r="B29" s="177" t="str">
        <f t="shared" si="1"/>
        <v/>
      </c>
      <c r="C29" s="177" t="str">
        <f t="shared" si="2"/>
        <v/>
      </c>
      <c r="D29" s="157" t="str">
        <f t="shared" si="6"/>
        <v/>
      </c>
      <c r="E29" s="157"/>
      <c r="F29" s="158" t="str">
        <f t="shared" si="5"/>
        <v/>
      </c>
      <c r="G29" s="22"/>
      <c r="H29" s="22"/>
      <c r="I29" s="220"/>
      <c r="J29" s="283"/>
      <c r="K29" s="283"/>
      <c r="L29" s="45"/>
      <c r="M29" s="45"/>
    </row>
    <row r="30" spans="1:16" x14ac:dyDescent="0.25">
      <c r="A30" s="162" t="str">
        <f t="shared" si="3"/>
        <v>DISS013</v>
      </c>
      <c r="B30" s="177" t="str">
        <f t="shared" si="1"/>
        <v/>
      </c>
      <c r="C30" s="177" t="str">
        <f t="shared" si="2"/>
        <v/>
      </c>
      <c r="D30" s="157" t="str">
        <f t="shared" si="6"/>
        <v/>
      </c>
      <c r="E30" s="157"/>
      <c r="F30" s="158" t="str">
        <f t="shared" si="5"/>
        <v/>
      </c>
      <c r="G30" s="22"/>
      <c r="H30" s="22"/>
      <c r="I30" s="220"/>
      <c r="J30" s="283"/>
      <c r="K30" s="283"/>
      <c r="L30" s="45"/>
      <c r="M30" s="45"/>
    </row>
    <row r="31" spans="1:16" x14ac:dyDescent="0.25">
      <c r="A31" s="162" t="str">
        <f t="shared" si="3"/>
        <v>DISS014</v>
      </c>
      <c r="B31" s="177" t="str">
        <f t="shared" si="1"/>
        <v/>
      </c>
      <c r="C31" s="177" t="str">
        <f t="shared" si="2"/>
        <v/>
      </c>
      <c r="D31" s="157" t="str">
        <f t="shared" si="6"/>
        <v/>
      </c>
      <c r="E31" s="157"/>
      <c r="F31" s="158" t="str">
        <f t="shared" si="5"/>
        <v/>
      </c>
      <c r="G31" s="22"/>
      <c r="H31" s="22"/>
      <c r="I31" s="220"/>
      <c r="J31" s="283"/>
      <c r="K31" s="283"/>
      <c r="L31" s="45"/>
      <c r="M31" s="45"/>
    </row>
    <row r="32" spans="1:16" x14ac:dyDescent="0.25">
      <c r="A32" s="162" t="str">
        <f t="shared" si="3"/>
        <v>DISS015</v>
      </c>
      <c r="B32" s="177" t="str">
        <f t="shared" si="1"/>
        <v/>
      </c>
      <c r="C32" s="177" t="str">
        <f t="shared" si="2"/>
        <v/>
      </c>
      <c r="D32" s="157" t="str">
        <f t="shared" si="6"/>
        <v/>
      </c>
      <c r="E32" s="157"/>
      <c r="F32" s="158" t="str">
        <f t="shared" si="5"/>
        <v/>
      </c>
      <c r="G32" s="22"/>
      <c r="H32" s="22"/>
      <c r="I32" s="220"/>
      <c r="J32" s="283"/>
      <c r="K32" s="283"/>
      <c r="L32" s="45"/>
      <c r="M32" s="45"/>
    </row>
    <row r="33" spans="1:13" x14ac:dyDescent="0.25">
      <c r="A33" s="162" t="str">
        <f t="shared" si="3"/>
        <v>DISS016</v>
      </c>
      <c r="B33" s="177" t="str">
        <f t="shared" si="1"/>
        <v/>
      </c>
      <c r="C33" s="177" t="str">
        <f t="shared" si="2"/>
        <v/>
      </c>
      <c r="D33" s="157" t="str">
        <f t="shared" si="6"/>
        <v/>
      </c>
      <c r="E33" s="157"/>
      <c r="F33" s="158" t="str">
        <f t="shared" si="5"/>
        <v/>
      </c>
      <c r="G33" s="22"/>
      <c r="H33" s="22"/>
      <c r="I33" s="220"/>
      <c r="J33" s="283"/>
      <c r="K33" s="283"/>
      <c r="L33" s="45"/>
      <c r="M33" s="45"/>
    </row>
    <row r="34" spans="1:13" x14ac:dyDescent="0.25">
      <c r="A34" s="162" t="str">
        <f t="shared" si="3"/>
        <v>DISS017</v>
      </c>
      <c r="B34" s="177" t="str">
        <f t="shared" si="1"/>
        <v/>
      </c>
      <c r="C34" s="177" t="str">
        <f t="shared" si="2"/>
        <v/>
      </c>
      <c r="D34" s="157" t="str">
        <f t="shared" si="6"/>
        <v/>
      </c>
      <c r="E34" s="157"/>
      <c r="F34" s="158" t="str">
        <f t="shared" si="5"/>
        <v/>
      </c>
      <c r="G34" s="22"/>
      <c r="H34" s="22"/>
      <c r="I34" s="220"/>
      <c r="J34" s="283"/>
      <c r="K34" s="283"/>
      <c r="L34" s="45"/>
      <c r="M34" s="45"/>
    </row>
    <row r="35" spans="1:13" x14ac:dyDescent="0.25">
      <c r="A35" s="162" t="str">
        <f t="shared" si="3"/>
        <v>DISS018</v>
      </c>
      <c r="B35" s="177" t="str">
        <f t="shared" si="1"/>
        <v/>
      </c>
      <c r="C35" s="177" t="str">
        <f t="shared" si="2"/>
        <v/>
      </c>
      <c r="D35" s="157" t="str">
        <f t="shared" si="6"/>
        <v/>
      </c>
      <c r="E35" s="157"/>
      <c r="F35" s="158" t="str">
        <f t="shared" si="5"/>
        <v/>
      </c>
      <c r="G35" s="22"/>
      <c r="H35" s="22"/>
      <c r="I35" s="220"/>
      <c r="J35" s="283"/>
      <c r="K35" s="283"/>
      <c r="L35" s="45"/>
      <c r="M35" s="45"/>
    </row>
    <row r="36" spans="1:13" x14ac:dyDescent="0.25">
      <c r="A36" s="162" t="str">
        <f t="shared" si="3"/>
        <v>DISS019</v>
      </c>
      <c r="B36" s="177" t="str">
        <f t="shared" si="1"/>
        <v/>
      </c>
      <c r="C36" s="177" t="str">
        <f t="shared" si="2"/>
        <v/>
      </c>
      <c r="D36" s="157" t="str">
        <f t="shared" si="6"/>
        <v/>
      </c>
      <c r="E36" s="157"/>
      <c r="F36" s="158" t="str">
        <f>IF(E36="",IF(D36="","",D36),E36)</f>
        <v/>
      </c>
      <c r="G36" s="22"/>
      <c r="H36" s="22"/>
      <c r="I36" s="220"/>
      <c r="J36" s="283"/>
      <c r="K36" s="283"/>
      <c r="L36" s="45"/>
      <c r="M36" s="45"/>
    </row>
    <row r="37" spans="1:13" x14ac:dyDescent="0.25">
      <c r="A37" s="162" t="str">
        <f t="shared" si="3"/>
        <v>DISS020</v>
      </c>
      <c r="B37" s="177" t="str">
        <f t="shared" si="1"/>
        <v/>
      </c>
      <c r="C37" s="177" t="str">
        <f t="shared" si="2"/>
        <v/>
      </c>
      <c r="D37" s="157" t="str">
        <f t="shared" si="6"/>
        <v/>
      </c>
      <c r="E37" s="157"/>
      <c r="F37" s="158" t="str">
        <f t="shared" si="5"/>
        <v/>
      </c>
      <c r="G37" s="22"/>
      <c r="H37" s="22"/>
      <c r="I37" s="220"/>
      <c r="J37" s="283"/>
      <c r="K37" s="283"/>
      <c r="L37" s="45"/>
      <c r="M37" s="45"/>
    </row>
    <row r="38" spans="1:13" x14ac:dyDescent="0.25">
      <c r="A38" s="162" t="str">
        <f t="shared" si="3"/>
        <v>DISS021</v>
      </c>
      <c r="B38" s="177" t="str">
        <f t="shared" si="1"/>
        <v/>
      </c>
      <c r="C38" s="177" t="str">
        <f t="shared" si="2"/>
        <v/>
      </c>
      <c r="D38" s="157" t="str">
        <f t="shared" si="6"/>
        <v/>
      </c>
      <c r="E38" s="157"/>
      <c r="F38" s="158" t="str">
        <f t="shared" si="5"/>
        <v/>
      </c>
      <c r="G38" s="22"/>
      <c r="H38" s="22"/>
      <c r="I38" s="220"/>
      <c r="J38" s="283"/>
      <c r="K38" s="283"/>
      <c r="L38" s="45"/>
      <c r="M38" s="45"/>
    </row>
    <row r="39" spans="1:13" x14ac:dyDescent="0.25">
      <c r="A39" s="162" t="str">
        <f t="shared" si="3"/>
        <v>DISS022</v>
      </c>
      <c r="B39" s="177" t="str">
        <f t="shared" si="1"/>
        <v/>
      </c>
      <c r="C39" s="177" t="str">
        <f t="shared" si="2"/>
        <v/>
      </c>
      <c r="D39" s="157" t="str">
        <f t="shared" si="6"/>
        <v/>
      </c>
      <c r="E39" s="157"/>
      <c r="F39" s="158" t="str">
        <f t="shared" si="5"/>
        <v/>
      </c>
      <c r="G39" s="22"/>
      <c r="H39" s="22"/>
      <c r="I39" s="220"/>
      <c r="J39" s="283"/>
      <c r="K39" s="283"/>
      <c r="L39" s="45"/>
      <c r="M39" s="45"/>
    </row>
    <row r="40" spans="1:13" x14ac:dyDescent="0.25">
      <c r="A40" s="162" t="str">
        <f t="shared" si="3"/>
        <v>DISS023</v>
      </c>
      <c r="B40" s="177" t="str">
        <f t="shared" si="1"/>
        <v/>
      </c>
      <c r="C40" s="177" t="str">
        <f t="shared" si="2"/>
        <v/>
      </c>
      <c r="D40" s="157" t="str">
        <f t="shared" si="6"/>
        <v/>
      </c>
      <c r="E40" s="157"/>
      <c r="F40" s="158" t="str">
        <f t="shared" si="5"/>
        <v/>
      </c>
      <c r="G40" s="22"/>
      <c r="H40" s="22"/>
      <c r="I40" s="220"/>
      <c r="J40" s="283"/>
      <c r="K40" s="283"/>
      <c r="L40" s="45"/>
      <c r="M40" s="45"/>
    </row>
    <row r="41" spans="1:13" x14ac:dyDescent="0.25">
      <c r="A41" s="162" t="str">
        <f t="shared" si="3"/>
        <v>DISS024</v>
      </c>
      <c r="B41" s="177" t="str">
        <f t="shared" si="1"/>
        <v/>
      </c>
      <c r="C41" s="177" t="str">
        <f t="shared" si="2"/>
        <v/>
      </c>
      <c r="D41" s="157" t="str">
        <f t="shared" si="6"/>
        <v/>
      </c>
      <c r="E41" s="157"/>
      <c r="F41" s="158" t="str">
        <f t="shared" si="5"/>
        <v/>
      </c>
      <c r="G41" s="22"/>
      <c r="H41" s="22"/>
      <c r="I41" s="220"/>
      <c r="J41" s="283"/>
      <c r="K41" s="283"/>
      <c r="L41" s="45"/>
      <c r="M41" s="45"/>
    </row>
    <row r="42" spans="1:13" x14ac:dyDescent="0.25">
      <c r="A42" s="162" t="str">
        <f t="shared" si="3"/>
        <v>DISS025</v>
      </c>
      <c r="B42" s="177" t="str">
        <f t="shared" si="1"/>
        <v/>
      </c>
      <c r="C42" s="177" t="str">
        <f t="shared" si="2"/>
        <v/>
      </c>
      <c r="D42" s="157" t="str">
        <f t="shared" si="6"/>
        <v/>
      </c>
      <c r="E42" s="157"/>
      <c r="F42" s="158" t="str">
        <f t="shared" si="5"/>
        <v/>
      </c>
      <c r="G42" s="22"/>
      <c r="H42" s="22"/>
      <c r="I42" s="220"/>
      <c r="J42" s="283"/>
      <c r="K42" s="283"/>
      <c r="L42" s="45"/>
      <c r="M42" s="45"/>
    </row>
    <row r="43" spans="1:13" x14ac:dyDescent="0.25">
      <c r="A43" s="162" t="str">
        <f t="shared" si="3"/>
        <v>DISS026</v>
      </c>
      <c r="B43" s="177" t="str">
        <f t="shared" si="1"/>
        <v/>
      </c>
      <c r="C43" s="177" t="str">
        <f t="shared" si="2"/>
        <v/>
      </c>
      <c r="D43" s="157" t="str">
        <f t="shared" si="6"/>
        <v/>
      </c>
      <c r="E43" s="157"/>
      <c r="F43" s="158" t="str">
        <f t="shared" si="5"/>
        <v/>
      </c>
      <c r="G43" s="22"/>
      <c r="H43" s="22"/>
      <c r="I43" s="220"/>
      <c r="J43" s="283"/>
      <c r="K43" s="283"/>
      <c r="L43" s="45"/>
      <c r="M43" s="45"/>
    </row>
    <row r="44" spans="1:13" x14ac:dyDescent="0.25">
      <c r="A44" s="162" t="str">
        <f t="shared" si="3"/>
        <v>DISS027</v>
      </c>
      <c r="B44" s="177" t="str">
        <f t="shared" si="1"/>
        <v/>
      </c>
      <c r="C44" s="177" t="str">
        <f t="shared" si="2"/>
        <v/>
      </c>
      <c r="D44" s="157" t="str">
        <f t="shared" si="6"/>
        <v/>
      </c>
      <c r="E44" s="157"/>
      <c r="F44" s="158" t="str">
        <f t="shared" si="5"/>
        <v/>
      </c>
      <c r="G44" s="22"/>
      <c r="H44" s="22"/>
      <c r="I44" s="220"/>
      <c r="J44" s="283"/>
      <c r="K44" s="283"/>
      <c r="L44" s="45"/>
      <c r="M44" s="45"/>
    </row>
    <row r="45" spans="1:13" ht="15.75" thickBot="1" x14ac:dyDescent="0.3">
      <c r="A45" s="163" t="str">
        <f t="shared" si="3"/>
        <v>DISS028</v>
      </c>
      <c r="B45" s="178" t="str">
        <f t="shared" si="1"/>
        <v/>
      </c>
      <c r="C45" s="178" t="str">
        <f t="shared" si="2"/>
        <v/>
      </c>
      <c r="D45" s="159" t="str">
        <f>IF(I45=0,"",I45)</f>
        <v/>
      </c>
      <c r="E45" s="159"/>
      <c r="F45" s="160" t="str">
        <f t="shared" si="5"/>
        <v/>
      </c>
      <c r="G45" s="22"/>
      <c r="H45" s="22"/>
      <c r="I45" s="220"/>
      <c r="J45" s="44"/>
      <c r="K45" s="44"/>
      <c r="L45" s="44"/>
      <c r="M45" s="44"/>
    </row>
    <row r="46" spans="1:13" x14ac:dyDescent="0.25">
      <c r="G46" t="s">
        <v>171</v>
      </c>
    </row>
  </sheetData>
  <sheetProtection sheet="1" formatCells="0" formatColumns="0" formatRows="0" insertColumns="0" insertRows="0" insertHyperlinks="0" deleteColumns="0" deleteRows="0" sort="0" autoFilter="0" pivotTables="0"/>
  <autoFilter ref="A17:C17"/>
  <conditionalFormatting sqref="A18:C45 E18:F45">
    <cfRule type="expression" dxfId="6" priority="11">
      <formula>MOD(ROW(),2)=0</formula>
    </cfRule>
    <cfRule type="expression" priority="12">
      <formula>MOD(ROW(),2)=1</formula>
    </cfRule>
  </conditionalFormatting>
  <conditionalFormatting sqref="D18:D45">
    <cfRule type="expression" dxfId="5" priority="1">
      <formula>MOD(ROW(),2)=0</formula>
    </cfRule>
    <cfRule type="expression" priority="2">
      <formula>MOD(ROW(),2)=1</formula>
    </cfRule>
  </conditionalFormatting>
  <dataValidations count="1">
    <dataValidation allowBlank="1" showErrorMessage="1" errorTitle="wrong entry / flasche Eingabe" error="the number has to start with &quot;CE&quot;_x000a_Die Nummer muss mit &quot;CE&quot; beginnen" sqref="A18:A45"/>
  </dataValidations>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tabColor theme="6" tint="-0.249977111117893"/>
  </sheetPr>
  <dimension ref="A1:P46"/>
  <sheetViews>
    <sheetView topLeftCell="A15" zoomScaleNormal="100" workbookViewId="0">
      <selection activeCell="A15" sqref="A15"/>
    </sheetView>
  </sheetViews>
  <sheetFormatPr baseColWidth="10" defaultRowHeight="15" outlineLevelRow="1" x14ac:dyDescent="0.25"/>
  <cols>
    <col min="1" max="1" width="10" customWidth="1"/>
    <col min="2" max="2" width="38.85546875" customWidth="1"/>
    <col min="3" max="3" width="46.5703125" customWidth="1"/>
    <col min="4" max="6" width="11.7109375" customWidth="1"/>
    <col min="7" max="7" width="4.5703125" customWidth="1"/>
    <col min="8" max="8" width="17.28515625" customWidth="1"/>
    <col min="9" max="9" width="46" style="13" customWidth="1"/>
    <col min="10" max="10" width="46" customWidth="1"/>
    <col min="11" max="13" width="53.5703125" customWidth="1"/>
  </cols>
  <sheetData>
    <row r="1" spans="1:11" ht="18.75" hidden="1" outlineLevel="1" thickBot="1" x14ac:dyDescent="0.3">
      <c r="A1" s="31" t="str">
        <f>VLOOKUP(1003,LANGUAGE_DB,2)</f>
        <v>Einstellungen</v>
      </c>
      <c r="B1" s="47"/>
      <c r="D1" s="49"/>
      <c r="E1" s="49"/>
      <c r="F1" s="49"/>
    </row>
    <row r="2" spans="1:11" ht="15.75" hidden="1" outlineLevel="1" thickBot="1" x14ac:dyDescent="0.3">
      <c r="A2" s="48" t="str">
        <f>VLOOKUP(1004,LANGUAGE_DB,2)</f>
        <v>erster Eintrag in Zeile</v>
      </c>
      <c r="C2" s="46">
        <f>ROW(G17)+1</f>
        <v>18</v>
      </c>
      <c r="D2" s="49"/>
      <c r="E2" s="49"/>
      <c r="F2" s="49"/>
    </row>
    <row r="3" spans="1:11" ht="15.75" hidden="1" outlineLevel="1" thickBot="1" x14ac:dyDescent="0.3">
      <c r="A3" s="48" t="str">
        <f>VLOOKUP(1005,LANGUAGE_DB,2)</f>
        <v>Kurznummer für Liste</v>
      </c>
      <c r="C3" s="46" t="s">
        <v>352</v>
      </c>
      <c r="D3" s="49"/>
      <c r="E3" s="49"/>
      <c r="F3" s="49"/>
    </row>
    <row r="4" spans="1:11" s="128" customFormat="1" ht="15.75" hidden="1" outlineLevel="1" thickBot="1" x14ac:dyDescent="0.3">
      <c r="A4" s="48" t="str">
        <f>VLOOKUP(5065,LANGUAGE_DB,2)</f>
        <v>letzter  Eintrag in Zeile</v>
      </c>
      <c r="C4" s="46">
        <f>ROW(G46)-1</f>
        <v>45</v>
      </c>
      <c r="D4" s="49"/>
      <c r="E4" s="49"/>
      <c r="F4" s="49"/>
      <c r="I4" s="13"/>
    </row>
    <row r="5" spans="1:11" hidden="1" outlineLevel="1" x14ac:dyDescent="0.25">
      <c r="A5" s="48"/>
      <c r="C5" s="49"/>
      <c r="D5" s="49"/>
      <c r="E5" s="49"/>
      <c r="F5" s="49"/>
    </row>
    <row r="6" spans="1:11" hidden="1" outlineLevel="1" x14ac:dyDescent="0.25">
      <c r="A6" s="48"/>
      <c r="C6" s="49"/>
      <c r="D6" s="49"/>
      <c r="E6" s="49"/>
      <c r="F6" s="49"/>
    </row>
    <row r="7" spans="1:11" hidden="1" outlineLevel="1" x14ac:dyDescent="0.25">
      <c r="A7" s="48"/>
      <c r="C7" s="49"/>
      <c r="D7" s="49"/>
      <c r="E7" s="49"/>
      <c r="F7" s="49"/>
    </row>
    <row r="8" spans="1:11" hidden="1" outlineLevel="1" x14ac:dyDescent="0.25">
      <c r="A8" s="48"/>
      <c r="C8" s="49"/>
      <c r="D8" s="49"/>
      <c r="E8" s="49"/>
      <c r="F8" s="49"/>
    </row>
    <row r="9" spans="1:11" hidden="1" outlineLevel="1" x14ac:dyDescent="0.25">
      <c r="A9" s="48"/>
      <c r="C9" s="49"/>
      <c r="D9" s="49"/>
      <c r="E9" s="49"/>
      <c r="F9" s="49"/>
    </row>
    <row r="10" spans="1:11" hidden="1" outlineLevel="1" x14ac:dyDescent="0.25">
      <c r="A10" s="48"/>
      <c r="C10" s="49"/>
      <c r="D10" s="49"/>
      <c r="E10" s="49"/>
      <c r="F10" s="49"/>
    </row>
    <row r="11" spans="1:11" hidden="1" outlineLevel="1" x14ac:dyDescent="0.25">
      <c r="A11" s="48"/>
      <c r="C11" s="49"/>
      <c r="D11" s="49"/>
      <c r="E11" s="49"/>
      <c r="F11" s="49"/>
    </row>
    <row r="12" spans="1:11" hidden="1" outlineLevel="1" x14ac:dyDescent="0.25">
      <c r="A12" s="48"/>
      <c r="C12" s="49"/>
      <c r="D12" s="49"/>
      <c r="E12" s="49"/>
      <c r="F12" s="49"/>
    </row>
    <row r="13" spans="1:11" hidden="1" outlineLevel="1" x14ac:dyDescent="0.25">
      <c r="A13" s="48"/>
      <c r="C13" s="49"/>
      <c r="D13" s="49"/>
      <c r="E13" s="49"/>
      <c r="F13" s="49"/>
    </row>
    <row r="14" spans="1:11" hidden="1" outlineLevel="1" x14ac:dyDescent="0.25">
      <c r="A14" s="48"/>
      <c r="C14" s="49"/>
      <c r="D14" s="49"/>
      <c r="E14" s="49"/>
      <c r="F14" s="49"/>
    </row>
    <row r="15" spans="1:11" ht="18" collapsed="1" x14ac:dyDescent="0.25">
      <c r="A15" s="31" t="str">
        <f>CONCATENATE("PREV_DB - ",VLOOKUP(H15,LANGUAGE_DB,2,FALSE))</f>
        <v>PREV_DB - vorbeugende Massnahmen</v>
      </c>
      <c r="C15" s="49"/>
      <c r="D15" s="49"/>
      <c r="E15" s="49"/>
      <c r="F15" s="49"/>
      <c r="H15">
        <v>7022</v>
      </c>
    </row>
    <row r="16" spans="1:11" ht="15.75" thickBot="1" x14ac:dyDescent="0.3">
      <c r="J16" s="24"/>
      <c r="K16" s="24"/>
    </row>
    <row r="17" spans="1:16" ht="31.5" customHeight="1" thickBot="1" x14ac:dyDescent="0.3">
      <c r="A17" s="25" t="str">
        <f>VLOOKUP(5004,LANGUAGE_DB,2)</f>
        <v>Referenz Nummer</v>
      </c>
      <c r="B17" s="26" t="str">
        <f>VLOOKUP(H15,LANGUAGE_DB,2,FALSE)</f>
        <v>vorbeugende Massnahmen</v>
      </c>
      <c r="C17" s="25" t="str">
        <f t="shared" ref="C17:C45" si="0">IF(L17="","",IF(Language_chosen=0,L17,M17))</f>
        <v>Beschreibung</v>
      </c>
      <c r="D17" s="173" t="str">
        <f>VLOOKUP(5014,LANGUAGE_DB,2,FALSE)</f>
        <v>vordefinierte Wertung</v>
      </c>
      <c r="E17" s="173" t="str">
        <f>VLOOKUP(5015,LANGUAGE_DB,2,FALSE)</f>
        <v>manuelle Wertung</v>
      </c>
      <c r="F17" s="173" t="str">
        <f>VLOOKUP(5016,LANGUAGE_DB,2,FALSE)</f>
        <v>effektive Wertung</v>
      </c>
      <c r="H17" s="21" t="s">
        <v>104</v>
      </c>
      <c r="I17" s="174" t="str">
        <f>VLOOKUP(5014,LANGUAGE_DB,2,FALSE)</f>
        <v>vordefinierte Wertung</v>
      </c>
      <c r="J17" s="21" t="str">
        <f>CONCATENATE(VLOOKUP(H15,LANGUAGE_DB,2,FALSE)," - DE")</f>
        <v>vorbeugende Massnahmen - DE</v>
      </c>
      <c r="K17" s="21" t="str">
        <f>CONCATENATE(VLOOKUP(H15,LANGUAGE_DB,2,FALSE)," - EN")</f>
        <v>vorbeugende Massnahmen - EN</v>
      </c>
      <c r="L17" s="21" t="s">
        <v>208</v>
      </c>
      <c r="M17" s="21" t="s">
        <v>209</v>
      </c>
      <c r="N17" s="21"/>
      <c r="O17" s="14"/>
      <c r="P17" s="14"/>
    </row>
    <row r="18" spans="1:16" x14ac:dyDescent="0.25">
      <c r="A18" s="161" t="str">
        <f>CONCATENATE($C$3,IF(LEN(ROW(A18)-$C$2+1)=1,"00",IF(LEN(ROW(A18)-$C$2+1)=2,"0","")),ROW(A18)-$C$2+1)</f>
        <v>PREV001</v>
      </c>
      <c r="B18" s="176" t="str">
        <f>IF(J18="","",IF(Language_chosen=0,J18,K18))</f>
        <v>keine</v>
      </c>
      <c r="C18" s="176" t="str">
        <f t="shared" si="0"/>
        <v/>
      </c>
      <c r="D18" s="155">
        <f>IF(I18=0,"",I18)</f>
        <v>1</v>
      </c>
      <c r="E18" s="155"/>
      <c r="F18" s="156">
        <f>IF(E18="",IF(D18="","",D18),E18)</f>
        <v>1</v>
      </c>
      <c r="G18" s="23"/>
      <c r="H18" s="23"/>
      <c r="I18" s="219">
        <v>1</v>
      </c>
      <c r="J18" s="44" t="s">
        <v>566</v>
      </c>
      <c r="K18" s="44" t="s">
        <v>80</v>
      </c>
      <c r="L18" s="44"/>
      <c r="M18" s="44" t="s">
        <v>103</v>
      </c>
    </row>
    <row r="19" spans="1:16" ht="30" x14ac:dyDescent="0.25">
      <c r="A19" s="162" t="str">
        <f t="shared" ref="A19:A45" si="1">CONCATENATE($C$3,IF(LEN(ROW(A19)-$C$2+1)=1,"00",IF(LEN(ROW(A19)-$C$2+1)=2,"0","")),ROW(A19)-$C$2+1)</f>
        <v>PREV002</v>
      </c>
      <c r="B19" s="177" t="str">
        <f t="shared" ref="B19:B45" si="2">IF(J19="","",IF(Language_chosen=0,J19,K19))</f>
        <v>regelmässige Updates von Firmware/Software</v>
      </c>
      <c r="C19" s="177" t="str">
        <f t="shared" si="0"/>
        <v/>
      </c>
      <c r="D19" s="157">
        <f t="shared" ref="D19:D22" si="3">IF(I19=0,"",I19)</f>
        <v>3</v>
      </c>
      <c r="E19" s="157"/>
      <c r="F19" s="158">
        <f t="shared" ref="F19:F45" si="4">IF(E19="",IF(D19="","",D19),E19)</f>
        <v>3</v>
      </c>
      <c r="I19" s="219">
        <v>3</v>
      </c>
      <c r="J19" s="44" t="s">
        <v>544</v>
      </c>
      <c r="K19" s="44" t="s">
        <v>545</v>
      </c>
      <c r="L19" s="44"/>
      <c r="M19" s="44" t="s">
        <v>103</v>
      </c>
    </row>
    <row r="20" spans="1:16" x14ac:dyDescent="0.25">
      <c r="A20" s="162" t="str">
        <f t="shared" si="1"/>
        <v>PREV003</v>
      </c>
      <c r="B20" s="177" t="str">
        <f t="shared" si="2"/>
        <v>regelmässiges Wechseln von Passwörtern</v>
      </c>
      <c r="C20" s="177" t="str">
        <f t="shared" si="0"/>
        <v/>
      </c>
      <c r="D20" s="157">
        <f t="shared" si="3"/>
        <v>2</v>
      </c>
      <c r="E20" s="157"/>
      <c r="F20" s="158">
        <f t="shared" si="4"/>
        <v>2</v>
      </c>
      <c r="G20" s="22"/>
      <c r="H20" s="22"/>
      <c r="I20" s="220">
        <v>2</v>
      </c>
      <c r="J20" s="44" t="s">
        <v>548</v>
      </c>
      <c r="K20" s="44" t="s">
        <v>549</v>
      </c>
      <c r="L20" s="45"/>
      <c r="M20" s="45"/>
    </row>
    <row r="21" spans="1:16" x14ac:dyDescent="0.25">
      <c r="A21" s="162" t="str">
        <f t="shared" si="1"/>
        <v>PREV004</v>
      </c>
      <c r="B21" s="177" t="str">
        <f t="shared" si="2"/>
        <v>Installation einer Firewall</v>
      </c>
      <c r="C21" s="177" t="str">
        <f t="shared" si="0"/>
        <v/>
      </c>
      <c r="D21" s="157">
        <f t="shared" si="3"/>
        <v>4</v>
      </c>
      <c r="E21" s="157"/>
      <c r="F21" s="158">
        <f t="shared" si="4"/>
        <v>4</v>
      </c>
      <c r="G21" s="22"/>
      <c r="H21" s="22"/>
      <c r="I21" s="220">
        <v>4</v>
      </c>
      <c r="J21" s="45" t="s">
        <v>550</v>
      </c>
      <c r="K21" s="44" t="s">
        <v>551</v>
      </c>
      <c r="L21" s="45"/>
      <c r="M21" s="45"/>
    </row>
    <row r="22" spans="1:16" x14ac:dyDescent="0.25">
      <c r="A22" s="162" t="str">
        <f t="shared" si="1"/>
        <v>PREV005</v>
      </c>
      <c r="B22" s="177" t="str">
        <f t="shared" si="2"/>
        <v>Installation von Überwachungskameras</v>
      </c>
      <c r="C22" s="177" t="str">
        <f t="shared" si="0"/>
        <v/>
      </c>
      <c r="D22" s="157">
        <f t="shared" si="3"/>
        <v>2</v>
      </c>
      <c r="E22" s="157"/>
      <c r="F22" s="158">
        <f t="shared" si="4"/>
        <v>2</v>
      </c>
      <c r="G22" s="22"/>
      <c r="H22" s="22"/>
      <c r="I22" s="220">
        <v>2</v>
      </c>
      <c r="J22" s="50" t="s">
        <v>552</v>
      </c>
      <c r="K22" s="44" t="s">
        <v>553</v>
      </c>
      <c r="L22" s="44"/>
      <c r="M22" s="44" t="s">
        <v>103</v>
      </c>
    </row>
    <row r="23" spans="1:16" ht="30" x14ac:dyDescent="0.25">
      <c r="A23" s="162" t="str">
        <f t="shared" si="1"/>
        <v>PREV006</v>
      </c>
      <c r="B23" s="177" t="str">
        <f t="shared" si="2"/>
        <v>ersetzten von nicht mehr supporteten Geräten</v>
      </c>
      <c r="C23" s="177" t="str">
        <f t="shared" si="0"/>
        <v/>
      </c>
      <c r="D23" s="157">
        <f>IF(I23=0,"",I23)</f>
        <v>2</v>
      </c>
      <c r="E23" s="157"/>
      <c r="F23" s="158">
        <f t="shared" si="4"/>
        <v>2</v>
      </c>
      <c r="G23" s="22"/>
      <c r="H23" s="22"/>
      <c r="I23" s="220">
        <v>2</v>
      </c>
      <c r="J23" s="50" t="s">
        <v>554</v>
      </c>
      <c r="K23" s="50" t="s">
        <v>555</v>
      </c>
      <c r="L23" s="44"/>
      <c r="M23" s="44" t="s">
        <v>103</v>
      </c>
    </row>
    <row r="24" spans="1:16" ht="30" x14ac:dyDescent="0.25">
      <c r="A24" s="162" t="str">
        <f t="shared" si="1"/>
        <v>PREV007</v>
      </c>
      <c r="B24" s="177" t="str">
        <f t="shared" si="2"/>
        <v>setzen auf Hersteller mit grossem Sicherheitsdenken</v>
      </c>
      <c r="C24" s="177" t="str">
        <f t="shared" si="0"/>
        <v/>
      </c>
      <c r="D24" s="157">
        <f t="shared" ref="D24:D44" si="5">IF(I24=0,"",I24)</f>
        <v>2</v>
      </c>
      <c r="E24" s="157"/>
      <c r="F24" s="158">
        <f t="shared" si="4"/>
        <v>2</v>
      </c>
      <c r="G24" s="22"/>
      <c r="H24" s="22"/>
      <c r="I24" s="220">
        <v>2</v>
      </c>
      <c r="J24" s="50" t="s">
        <v>558</v>
      </c>
      <c r="K24" s="50" t="s">
        <v>559</v>
      </c>
      <c r="L24" s="45"/>
      <c r="M24" s="44" t="s">
        <v>103</v>
      </c>
    </row>
    <row r="25" spans="1:16" ht="30" x14ac:dyDescent="0.25">
      <c r="A25" s="162" t="str">
        <f t="shared" si="1"/>
        <v>PREV008</v>
      </c>
      <c r="B25" s="177" t="str">
        <f t="shared" si="2"/>
        <v>automatisches Blockieren des Account nach  fehlerhaften Anmeldungen</v>
      </c>
      <c r="C25" s="177" t="str">
        <f t="shared" si="0"/>
        <v/>
      </c>
      <c r="D25" s="157">
        <f t="shared" si="5"/>
        <v>3</v>
      </c>
      <c r="E25" s="157"/>
      <c r="F25" s="158">
        <f t="shared" si="4"/>
        <v>3</v>
      </c>
      <c r="G25" s="22"/>
      <c r="H25" s="22"/>
      <c r="I25" s="219">
        <v>3</v>
      </c>
      <c r="J25" s="44" t="s">
        <v>546</v>
      </c>
      <c r="K25" s="44" t="s">
        <v>547</v>
      </c>
      <c r="L25" s="45"/>
      <c r="M25" s="45"/>
    </row>
    <row r="26" spans="1:16" x14ac:dyDescent="0.25">
      <c r="A26" s="162" t="str">
        <f t="shared" si="1"/>
        <v>PREV009</v>
      </c>
      <c r="B26" s="177" t="str">
        <f t="shared" si="2"/>
        <v>regelmässige Kontrolle Hardware</v>
      </c>
      <c r="C26" s="177" t="str">
        <f t="shared" si="0"/>
        <v/>
      </c>
      <c r="D26" s="157">
        <f t="shared" si="5"/>
        <v>2</v>
      </c>
      <c r="E26" s="157"/>
      <c r="F26" s="158">
        <f t="shared" si="4"/>
        <v>2</v>
      </c>
      <c r="G26" s="22"/>
      <c r="H26" s="22"/>
      <c r="I26" s="220">
        <v>2</v>
      </c>
      <c r="J26" s="50" t="s">
        <v>778</v>
      </c>
      <c r="K26" s="50" t="s">
        <v>779</v>
      </c>
      <c r="L26" s="45"/>
      <c r="M26" s="45"/>
    </row>
    <row r="27" spans="1:16" x14ac:dyDescent="0.25">
      <c r="A27" s="162" t="str">
        <f t="shared" si="1"/>
        <v>PREV010</v>
      </c>
      <c r="B27" s="177" t="str">
        <f t="shared" si="2"/>
        <v>Zwei-Faktor Authentifizierung</v>
      </c>
      <c r="C27" s="177" t="str">
        <f t="shared" si="0"/>
        <v/>
      </c>
      <c r="D27" s="157">
        <f t="shared" si="5"/>
        <v>3</v>
      </c>
      <c r="E27" s="157"/>
      <c r="F27" s="158">
        <f t="shared" si="4"/>
        <v>3</v>
      </c>
      <c r="G27" s="22"/>
      <c r="H27" s="22"/>
      <c r="I27" s="220">
        <v>3</v>
      </c>
      <c r="J27" s="45" t="s">
        <v>799</v>
      </c>
      <c r="K27" s="44" t="s">
        <v>800</v>
      </c>
      <c r="L27" s="45"/>
      <c r="M27" s="45"/>
    </row>
    <row r="28" spans="1:16" x14ac:dyDescent="0.25">
      <c r="A28" s="162" t="str">
        <f t="shared" si="1"/>
        <v>PREV011</v>
      </c>
      <c r="B28" s="177" t="str">
        <f t="shared" si="2"/>
        <v/>
      </c>
      <c r="C28" s="177" t="str">
        <f t="shared" si="0"/>
        <v/>
      </c>
      <c r="D28" s="157" t="str">
        <f t="shared" si="5"/>
        <v/>
      </c>
      <c r="E28" s="157"/>
      <c r="F28" s="158" t="str">
        <f t="shared" si="4"/>
        <v/>
      </c>
      <c r="G28" s="22"/>
      <c r="H28" s="22"/>
      <c r="I28" s="220"/>
      <c r="J28" s="45"/>
      <c r="L28" s="45"/>
      <c r="M28" s="45"/>
    </row>
    <row r="29" spans="1:16" x14ac:dyDescent="0.25">
      <c r="A29" s="162" t="str">
        <f t="shared" si="1"/>
        <v>PREV012</v>
      </c>
      <c r="B29" s="177" t="str">
        <f t="shared" si="2"/>
        <v/>
      </c>
      <c r="C29" s="177" t="str">
        <f t="shared" si="0"/>
        <v/>
      </c>
      <c r="D29" s="157" t="str">
        <f t="shared" si="5"/>
        <v/>
      </c>
      <c r="E29" s="157"/>
      <c r="F29" s="158" t="str">
        <f t="shared" si="4"/>
        <v/>
      </c>
      <c r="G29" s="22"/>
      <c r="H29" s="22"/>
      <c r="I29" s="220"/>
      <c r="J29" s="45"/>
      <c r="K29" s="45"/>
      <c r="L29" s="45"/>
      <c r="M29" s="45"/>
    </row>
    <row r="30" spans="1:16" x14ac:dyDescent="0.25">
      <c r="A30" s="162" t="str">
        <f t="shared" si="1"/>
        <v>PREV013</v>
      </c>
      <c r="B30" s="177" t="str">
        <f t="shared" si="2"/>
        <v/>
      </c>
      <c r="C30" s="177" t="str">
        <f t="shared" si="0"/>
        <v/>
      </c>
      <c r="D30" s="157" t="str">
        <f t="shared" si="5"/>
        <v/>
      </c>
      <c r="E30" s="157"/>
      <c r="F30" s="158" t="str">
        <f t="shared" si="4"/>
        <v/>
      </c>
      <c r="G30" s="22"/>
      <c r="H30" s="22"/>
      <c r="I30" s="220"/>
      <c r="J30" s="45"/>
      <c r="K30" s="45"/>
      <c r="L30" s="45"/>
      <c r="M30" s="45"/>
    </row>
    <row r="31" spans="1:16" x14ac:dyDescent="0.25">
      <c r="A31" s="162" t="str">
        <f t="shared" si="1"/>
        <v>PREV014</v>
      </c>
      <c r="B31" s="177" t="str">
        <f t="shared" si="2"/>
        <v/>
      </c>
      <c r="C31" s="177" t="str">
        <f t="shared" si="0"/>
        <v/>
      </c>
      <c r="D31" s="157" t="str">
        <f t="shared" si="5"/>
        <v/>
      </c>
      <c r="E31" s="157"/>
      <c r="F31" s="158" t="str">
        <f t="shared" si="4"/>
        <v/>
      </c>
      <c r="G31" s="22"/>
      <c r="H31" s="22"/>
      <c r="I31" s="220"/>
      <c r="J31" s="45"/>
      <c r="K31" s="45"/>
      <c r="L31" s="45"/>
      <c r="M31" s="45"/>
    </row>
    <row r="32" spans="1:16" x14ac:dyDescent="0.25">
      <c r="A32" s="162" t="str">
        <f t="shared" si="1"/>
        <v>PREV015</v>
      </c>
      <c r="B32" s="177" t="str">
        <f t="shared" si="2"/>
        <v/>
      </c>
      <c r="C32" s="177" t="str">
        <f t="shared" si="0"/>
        <v/>
      </c>
      <c r="D32" s="157" t="str">
        <f t="shared" si="5"/>
        <v/>
      </c>
      <c r="E32" s="157"/>
      <c r="F32" s="158" t="str">
        <f t="shared" si="4"/>
        <v/>
      </c>
      <c r="G32" s="22"/>
      <c r="H32" s="22"/>
      <c r="I32" s="220"/>
      <c r="J32" s="45"/>
      <c r="K32" s="45"/>
      <c r="L32" s="45"/>
      <c r="M32" s="45"/>
    </row>
    <row r="33" spans="1:13" x14ac:dyDescent="0.25">
      <c r="A33" s="162" t="str">
        <f t="shared" si="1"/>
        <v>PREV016</v>
      </c>
      <c r="B33" s="177" t="str">
        <f t="shared" si="2"/>
        <v/>
      </c>
      <c r="C33" s="177" t="str">
        <f t="shared" si="0"/>
        <v/>
      </c>
      <c r="D33" s="157" t="str">
        <f t="shared" si="5"/>
        <v/>
      </c>
      <c r="E33" s="157"/>
      <c r="F33" s="158" t="str">
        <f t="shared" si="4"/>
        <v/>
      </c>
      <c r="G33" s="22"/>
      <c r="H33" s="22"/>
      <c r="I33" s="220"/>
      <c r="J33" s="45"/>
      <c r="K33" s="45"/>
      <c r="L33" s="45"/>
      <c r="M33" s="45"/>
    </row>
    <row r="34" spans="1:13" x14ac:dyDescent="0.25">
      <c r="A34" s="162" t="str">
        <f t="shared" si="1"/>
        <v>PREV017</v>
      </c>
      <c r="B34" s="177" t="str">
        <f t="shared" si="2"/>
        <v/>
      </c>
      <c r="C34" s="177" t="str">
        <f t="shared" si="0"/>
        <v/>
      </c>
      <c r="D34" s="157" t="str">
        <f t="shared" si="5"/>
        <v/>
      </c>
      <c r="E34" s="157"/>
      <c r="F34" s="158" t="str">
        <f t="shared" si="4"/>
        <v/>
      </c>
      <c r="G34" s="22"/>
      <c r="H34" s="22"/>
      <c r="I34" s="220"/>
      <c r="J34" s="45"/>
      <c r="K34" s="45"/>
      <c r="L34" s="45"/>
      <c r="M34" s="45"/>
    </row>
    <row r="35" spans="1:13" x14ac:dyDescent="0.25">
      <c r="A35" s="162" t="str">
        <f t="shared" si="1"/>
        <v>PREV018</v>
      </c>
      <c r="B35" s="177" t="str">
        <f t="shared" si="2"/>
        <v/>
      </c>
      <c r="C35" s="177" t="str">
        <f t="shared" si="0"/>
        <v/>
      </c>
      <c r="D35" s="157" t="str">
        <f t="shared" si="5"/>
        <v/>
      </c>
      <c r="E35" s="157"/>
      <c r="F35" s="158" t="str">
        <f t="shared" si="4"/>
        <v/>
      </c>
      <c r="G35" s="22"/>
      <c r="H35" s="22"/>
      <c r="I35" s="220"/>
      <c r="J35" s="45"/>
      <c r="K35" s="45"/>
      <c r="L35" s="45"/>
      <c r="M35" s="45"/>
    </row>
    <row r="36" spans="1:13" x14ac:dyDescent="0.25">
      <c r="A36" s="162" t="str">
        <f t="shared" si="1"/>
        <v>PREV019</v>
      </c>
      <c r="B36" s="177" t="str">
        <f t="shared" si="2"/>
        <v/>
      </c>
      <c r="C36" s="177" t="str">
        <f t="shared" si="0"/>
        <v/>
      </c>
      <c r="D36" s="157" t="str">
        <f t="shared" si="5"/>
        <v/>
      </c>
      <c r="E36" s="157"/>
      <c r="F36" s="158" t="str">
        <f>IF(E36="",IF(D36="","",D36),E36)</f>
        <v/>
      </c>
      <c r="G36" s="22"/>
      <c r="H36" s="22"/>
      <c r="I36" s="220"/>
      <c r="J36" s="45"/>
      <c r="K36" s="45"/>
      <c r="L36" s="45"/>
      <c r="M36" s="45"/>
    </row>
    <row r="37" spans="1:13" x14ac:dyDescent="0.25">
      <c r="A37" s="162" t="str">
        <f t="shared" si="1"/>
        <v>PREV020</v>
      </c>
      <c r="B37" s="177" t="str">
        <f t="shared" si="2"/>
        <v/>
      </c>
      <c r="C37" s="177" t="str">
        <f t="shared" si="0"/>
        <v/>
      </c>
      <c r="D37" s="157" t="str">
        <f t="shared" si="5"/>
        <v/>
      </c>
      <c r="E37" s="157"/>
      <c r="F37" s="158" t="str">
        <f t="shared" si="4"/>
        <v/>
      </c>
      <c r="G37" s="22"/>
      <c r="H37" s="22"/>
      <c r="I37" s="220"/>
      <c r="J37" s="45"/>
      <c r="K37" s="45"/>
      <c r="L37" s="45"/>
      <c r="M37" s="45"/>
    </row>
    <row r="38" spans="1:13" x14ac:dyDescent="0.25">
      <c r="A38" s="162" t="str">
        <f t="shared" si="1"/>
        <v>PREV021</v>
      </c>
      <c r="B38" s="177" t="str">
        <f t="shared" si="2"/>
        <v/>
      </c>
      <c r="C38" s="177" t="str">
        <f t="shared" si="0"/>
        <v/>
      </c>
      <c r="D38" s="157" t="str">
        <f t="shared" si="5"/>
        <v/>
      </c>
      <c r="E38" s="157"/>
      <c r="F38" s="158" t="str">
        <f t="shared" si="4"/>
        <v/>
      </c>
      <c r="G38" s="22"/>
      <c r="H38" s="22"/>
      <c r="I38" s="220"/>
      <c r="J38" s="45"/>
      <c r="K38" s="45"/>
      <c r="L38" s="45"/>
      <c r="M38" s="45"/>
    </row>
    <row r="39" spans="1:13" x14ac:dyDescent="0.25">
      <c r="A39" s="162" t="str">
        <f t="shared" si="1"/>
        <v>PREV022</v>
      </c>
      <c r="B39" s="177" t="str">
        <f t="shared" si="2"/>
        <v/>
      </c>
      <c r="C39" s="177" t="str">
        <f t="shared" si="0"/>
        <v/>
      </c>
      <c r="D39" s="157" t="str">
        <f t="shared" si="5"/>
        <v/>
      </c>
      <c r="E39" s="157"/>
      <c r="F39" s="158" t="str">
        <f t="shared" si="4"/>
        <v/>
      </c>
      <c r="G39" s="22"/>
      <c r="H39" s="22"/>
      <c r="I39" s="220"/>
      <c r="J39" s="45"/>
      <c r="K39" s="45"/>
      <c r="L39" s="45"/>
      <c r="M39" s="45"/>
    </row>
    <row r="40" spans="1:13" x14ac:dyDescent="0.25">
      <c r="A40" s="162" t="str">
        <f t="shared" si="1"/>
        <v>PREV023</v>
      </c>
      <c r="B40" s="177" t="str">
        <f t="shared" si="2"/>
        <v/>
      </c>
      <c r="C40" s="177" t="str">
        <f t="shared" si="0"/>
        <v/>
      </c>
      <c r="D40" s="157" t="str">
        <f t="shared" si="5"/>
        <v/>
      </c>
      <c r="E40" s="157"/>
      <c r="F40" s="158" t="str">
        <f t="shared" si="4"/>
        <v/>
      </c>
      <c r="G40" s="22"/>
      <c r="H40" s="22"/>
      <c r="I40" s="220"/>
      <c r="J40" s="45"/>
      <c r="K40" s="45"/>
      <c r="L40" s="45"/>
      <c r="M40" s="45"/>
    </row>
    <row r="41" spans="1:13" x14ac:dyDescent="0.25">
      <c r="A41" s="162" t="str">
        <f t="shared" si="1"/>
        <v>PREV024</v>
      </c>
      <c r="B41" s="177" t="str">
        <f t="shared" si="2"/>
        <v/>
      </c>
      <c r="C41" s="177" t="str">
        <f t="shared" si="0"/>
        <v/>
      </c>
      <c r="D41" s="157" t="str">
        <f t="shared" si="5"/>
        <v/>
      </c>
      <c r="E41" s="157"/>
      <c r="F41" s="158" t="str">
        <f t="shared" si="4"/>
        <v/>
      </c>
      <c r="G41" s="22"/>
      <c r="H41" s="22"/>
      <c r="I41" s="220"/>
      <c r="J41" s="45"/>
      <c r="K41" s="45"/>
      <c r="L41" s="45"/>
      <c r="M41" s="45"/>
    </row>
    <row r="42" spans="1:13" x14ac:dyDescent="0.25">
      <c r="A42" s="162" t="str">
        <f t="shared" si="1"/>
        <v>PREV025</v>
      </c>
      <c r="B42" s="177" t="str">
        <f t="shared" si="2"/>
        <v/>
      </c>
      <c r="C42" s="177" t="str">
        <f t="shared" si="0"/>
        <v/>
      </c>
      <c r="D42" s="157" t="str">
        <f t="shared" si="5"/>
        <v/>
      </c>
      <c r="E42" s="157"/>
      <c r="F42" s="158" t="str">
        <f t="shared" si="4"/>
        <v/>
      </c>
      <c r="G42" s="22"/>
      <c r="H42" s="22"/>
      <c r="I42" s="220"/>
      <c r="J42" s="45"/>
      <c r="K42" s="45"/>
      <c r="L42" s="45"/>
      <c r="M42" s="45"/>
    </row>
    <row r="43" spans="1:13" x14ac:dyDescent="0.25">
      <c r="A43" s="162" t="str">
        <f t="shared" si="1"/>
        <v>PREV026</v>
      </c>
      <c r="B43" s="177" t="str">
        <f t="shared" si="2"/>
        <v/>
      </c>
      <c r="C43" s="177" t="str">
        <f t="shared" si="0"/>
        <v/>
      </c>
      <c r="D43" s="157" t="str">
        <f t="shared" si="5"/>
        <v/>
      </c>
      <c r="E43" s="157"/>
      <c r="F43" s="158" t="str">
        <f t="shared" si="4"/>
        <v/>
      </c>
      <c r="G43" s="22"/>
      <c r="H43" s="22"/>
      <c r="I43" s="220"/>
      <c r="J43" s="45"/>
      <c r="K43" s="45"/>
      <c r="L43" s="45"/>
      <c r="M43" s="45"/>
    </row>
    <row r="44" spans="1:13" x14ac:dyDescent="0.25">
      <c r="A44" s="162" t="str">
        <f t="shared" si="1"/>
        <v>PREV027</v>
      </c>
      <c r="B44" s="177" t="str">
        <f t="shared" si="2"/>
        <v/>
      </c>
      <c r="C44" s="177" t="str">
        <f t="shared" si="0"/>
        <v/>
      </c>
      <c r="D44" s="157" t="str">
        <f t="shared" si="5"/>
        <v/>
      </c>
      <c r="E44" s="157"/>
      <c r="F44" s="158" t="str">
        <f t="shared" si="4"/>
        <v/>
      </c>
      <c r="G44" s="22"/>
      <c r="H44" s="22"/>
      <c r="I44" s="220"/>
      <c r="J44" s="45"/>
      <c r="K44" s="45"/>
      <c r="L44" s="45"/>
      <c r="M44" s="45"/>
    </row>
    <row r="45" spans="1:13" ht="15.75" thickBot="1" x14ac:dyDescent="0.3">
      <c r="A45" s="163" t="str">
        <f t="shared" si="1"/>
        <v>PREV028</v>
      </c>
      <c r="B45" s="178" t="str">
        <f t="shared" si="2"/>
        <v/>
      </c>
      <c r="C45" s="178" t="str">
        <f t="shared" si="0"/>
        <v/>
      </c>
      <c r="D45" s="159" t="str">
        <f>IF(I45=0,"",I45)</f>
        <v/>
      </c>
      <c r="E45" s="159"/>
      <c r="F45" s="160" t="str">
        <f t="shared" si="4"/>
        <v/>
      </c>
      <c r="G45" s="22"/>
      <c r="H45" s="22"/>
      <c r="I45" s="220"/>
      <c r="J45" s="44"/>
      <c r="K45" s="44"/>
      <c r="L45" s="44"/>
      <c r="M45" s="44"/>
    </row>
    <row r="46" spans="1:13" x14ac:dyDescent="0.25">
      <c r="G46" t="s">
        <v>171</v>
      </c>
    </row>
  </sheetData>
  <sheetProtection sheet="1" formatCells="0" formatColumns="0" formatRows="0" insertColumns="0" insertRows="0" insertHyperlinks="0" deleteColumns="0" deleteRows="0" sort="0" autoFilter="0" pivotTables="0"/>
  <autoFilter ref="A17:C17"/>
  <conditionalFormatting sqref="A18:F45">
    <cfRule type="expression" dxfId="4" priority="5">
      <formula>MOD(ROW(),2)=0</formula>
    </cfRule>
    <cfRule type="expression" priority="6">
      <formula>MOD(ROW(),2)=1</formula>
    </cfRule>
  </conditionalFormatting>
  <dataValidations count="1">
    <dataValidation allowBlank="1" showErrorMessage="1" errorTitle="wrong entry / flasche Eingabe" error="the number has to start with &quot;CE&quot;_x000a_Die Nummer muss mit &quot;CE&quot; beginnen" sqref="A18:A45"/>
  </dataValidations>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3">
    <tabColor theme="6" tint="-0.249977111117893"/>
  </sheetPr>
  <dimension ref="A1:P46"/>
  <sheetViews>
    <sheetView zoomScaleNormal="100" workbookViewId="0">
      <selection activeCell="I24" sqref="I24"/>
    </sheetView>
  </sheetViews>
  <sheetFormatPr baseColWidth="10" defaultRowHeight="15" outlineLevelRow="1" x14ac:dyDescent="0.25"/>
  <cols>
    <col min="1" max="1" width="10" customWidth="1"/>
    <col min="2" max="2" width="38.85546875" customWidth="1"/>
    <col min="3" max="3" width="46.5703125" customWidth="1"/>
    <col min="4" max="6" width="11.7109375" customWidth="1"/>
    <col min="7" max="7" width="5" customWidth="1"/>
    <col min="8" max="8" width="17.28515625" customWidth="1"/>
    <col min="9" max="9" width="46" style="13" customWidth="1"/>
    <col min="10" max="10" width="46" customWidth="1"/>
    <col min="11" max="13" width="53.5703125" customWidth="1"/>
  </cols>
  <sheetData>
    <row r="1" spans="1:11" ht="18.75" outlineLevel="1" thickBot="1" x14ac:dyDescent="0.3">
      <c r="A1" s="31" t="str">
        <f>VLOOKUP(1003,LANGUAGE_DB,2)</f>
        <v>Einstellungen</v>
      </c>
      <c r="B1" s="47"/>
      <c r="D1" s="49"/>
      <c r="E1" s="49"/>
      <c r="F1" s="49"/>
    </row>
    <row r="2" spans="1:11" ht="15.75" outlineLevel="1" thickBot="1" x14ac:dyDescent="0.3">
      <c r="A2" s="48" t="str">
        <f>VLOOKUP(1004,LANGUAGE_DB,2)</f>
        <v>erster Eintrag in Zeile</v>
      </c>
      <c r="C2" s="46">
        <f>ROW(G17)+1</f>
        <v>18</v>
      </c>
      <c r="D2" s="49"/>
      <c r="E2" s="49"/>
      <c r="F2" s="49"/>
    </row>
    <row r="3" spans="1:11" ht="15.75" outlineLevel="1" thickBot="1" x14ac:dyDescent="0.3">
      <c r="A3" s="48" t="str">
        <f>VLOOKUP(1005,LANGUAGE_DB,2)</f>
        <v>Kurznummer für Liste</v>
      </c>
      <c r="C3" s="46" t="s">
        <v>782</v>
      </c>
      <c r="D3" s="49"/>
      <c r="E3" s="49"/>
      <c r="F3" s="49"/>
    </row>
    <row r="4" spans="1:11" s="128" customFormat="1" ht="15.75" outlineLevel="1" thickBot="1" x14ac:dyDescent="0.3">
      <c r="A4" s="48" t="str">
        <f>VLOOKUP(5065,LANGUAGE_DB,2)</f>
        <v>letzter  Eintrag in Zeile</v>
      </c>
      <c r="C4" s="46">
        <f>ROW(G46)-1</f>
        <v>45</v>
      </c>
      <c r="D4" s="49"/>
      <c r="E4" s="49"/>
      <c r="F4" s="49"/>
      <c r="I4" s="13"/>
    </row>
    <row r="5" spans="1:11" outlineLevel="1" x14ac:dyDescent="0.25">
      <c r="A5" s="48"/>
      <c r="C5" s="49"/>
      <c r="D5" s="49"/>
      <c r="E5" s="49"/>
      <c r="F5" s="49"/>
    </row>
    <row r="6" spans="1:11" outlineLevel="1" x14ac:dyDescent="0.25">
      <c r="A6" s="48"/>
      <c r="C6" s="49"/>
      <c r="D6" s="49"/>
      <c r="E6" s="49"/>
      <c r="F6" s="49"/>
    </row>
    <row r="7" spans="1:11" outlineLevel="1" x14ac:dyDescent="0.25">
      <c r="A7" s="48"/>
      <c r="C7" s="49"/>
      <c r="D7" s="49"/>
      <c r="E7" s="49"/>
      <c r="F7" s="49"/>
    </row>
    <row r="8" spans="1:11" outlineLevel="1" x14ac:dyDescent="0.25">
      <c r="A8" s="48"/>
      <c r="C8" s="49"/>
      <c r="D8" s="49"/>
      <c r="E8" s="49"/>
      <c r="F8" s="49"/>
    </row>
    <row r="9" spans="1:11" outlineLevel="1" x14ac:dyDescent="0.25">
      <c r="A9" s="48"/>
      <c r="C9" s="49"/>
      <c r="D9" s="49"/>
      <c r="E9" s="49"/>
      <c r="F9" s="49"/>
    </row>
    <row r="10" spans="1:11" outlineLevel="1" x14ac:dyDescent="0.25">
      <c r="A10" s="48"/>
      <c r="C10" s="49"/>
      <c r="D10" s="49"/>
      <c r="E10" s="49"/>
      <c r="F10" s="49"/>
    </row>
    <row r="11" spans="1:11" outlineLevel="1" x14ac:dyDescent="0.25">
      <c r="A11" s="48"/>
      <c r="C11" s="49"/>
      <c r="D11" s="49"/>
      <c r="E11" s="49"/>
      <c r="F11" s="49"/>
    </row>
    <row r="12" spans="1:11" outlineLevel="1" x14ac:dyDescent="0.25">
      <c r="A12" s="48"/>
      <c r="C12" s="49"/>
      <c r="D12" s="49"/>
      <c r="E12" s="49"/>
      <c r="F12" s="49"/>
    </row>
    <row r="13" spans="1:11" outlineLevel="1" x14ac:dyDescent="0.25">
      <c r="A13" s="48"/>
      <c r="C13" s="49"/>
      <c r="D13" s="49"/>
      <c r="E13" s="49"/>
      <c r="F13" s="49"/>
    </row>
    <row r="14" spans="1:11" outlineLevel="1" x14ac:dyDescent="0.25">
      <c r="A14" s="48"/>
      <c r="C14" s="49"/>
      <c r="D14" s="49"/>
      <c r="E14" s="49"/>
      <c r="F14" s="49"/>
    </row>
    <row r="15" spans="1:11" ht="18" x14ac:dyDescent="0.25">
      <c r="A15" s="31" t="str">
        <f>CONCATENATE("CONF_DB - ",VLOOKUP(H15,LANGUAGE_DB,2,FALSE))</f>
        <v>CONF_DB - schützende / minimierende Massnahmen</v>
      </c>
      <c r="C15" s="49"/>
      <c r="D15" s="49"/>
      <c r="E15" s="49"/>
      <c r="F15" s="49"/>
      <c r="H15">
        <v>7024</v>
      </c>
    </row>
    <row r="16" spans="1:11" ht="15.75" thickBot="1" x14ac:dyDescent="0.3">
      <c r="J16" s="24"/>
      <c r="K16" s="24"/>
    </row>
    <row r="17" spans="1:16" ht="31.5" customHeight="1" thickBot="1" x14ac:dyDescent="0.3">
      <c r="A17" s="25" t="str">
        <f>VLOOKUP(5004,LANGUAGE_DB,2)</f>
        <v>Referenz Nummer</v>
      </c>
      <c r="B17" s="26" t="str">
        <f>VLOOKUP(H15,LANGUAGE_DB,2,FALSE)</f>
        <v>schützende / minimierende Massnahmen</v>
      </c>
      <c r="C17" s="25" t="str">
        <f t="shared" ref="C17" si="0">IF(L17="","",IF(Language_chosen=0,L17,M17))</f>
        <v>Beschreibung</v>
      </c>
      <c r="D17" s="173" t="str">
        <f>VLOOKUP(5014,LANGUAGE_DB,2,FALSE)</f>
        <v>vordefinierte Wertung</v>
      </c>
      <c r="E17" s="173" t="str">
        <f>VLOOKUP(5015,LANGUAGE_DB,2,FALSE)</f>
        <v>manuelle Wertung</v>
      </c>
      <c r="F17" s="173" t="str">
        <f>VLOOKUP(5016,LANGUAGE_DB,2,FALSE)</f>
        <v>effektive Wertung</v>
      </c>
      <c r="H17" s="21" t="s">
        <v>104</v>
      </c>
      <c r="I17" s="174" t="str">
        <f>VLOOKUP(5014,LANGUAGE_DB,2,FALSE)</f>
        <v>vordefinierte Wertung</v>
      </c>
      <c r="J17" s="21" t="str">
        <f>CONCATENATE(VLOOKUP(H15,LANGUAGE_DB,2,FALSE)," - DE")</f>
        <v>schützende / minimierende Massnahmen - DE</v>
      </c>
      <c r="K17" s="21" t="str">
        <f>CONCATENATE(VLOOKUP(H15,LANGUAGE_DB,2,FALSE)," - EN")</f>
        <v>schützende / minimierende Massnahmen - EN</v>
      </c>
      <c r="L17" s="21" t="s">
        <v>208</v>
      </c>
      <c r="M17" s="21" t="s">
        <v>209</v>
      </c>
      <c r="N17" s="21"/>
      <c r="O17" s="14"/>
      <c r="P17" s="14"/>
    </row>
    <row r="18" spans="1:16" x14ac:dyDescent="0.25">
      <c r="A18" s="161" t="str">
        <f>CONCATENATE($C$3,IF(LEN(ROW(A18)-$C$2+1)=1,"00",IF(LEN(ROW(A18)-$C$2+1)=2,"0","")),ROW(A18)-$C$2+1)</f>
        <v>PROT001</v>
      </c>
      <c r="B18" s="176" t="str">
        <f t="shared" ref="B18:B45" si="1">IF(J18="","",IF(Language_chosen=0,J18,K18))</f>
        <v>keine</v>
      </c>
      <c r="C18" s="176" t="str">
        <f t="shared" ref="C18:C45" si="2">IF(L18="","",IF(Language_chosen=0,L18,M18))</f>
        <v/>
      </c>
      <c r="D18" s="155">
        <f>IF(I18=0,"",I18)</f>
        <v>1</v>
      </c>
      <c r="E18" s="155"/>
      <c r="F18" s="156">
        <f>IF(E18="",IF(D18="","",D18),E18)</f>
        <v>1</v>
      </c>
      <c r="G18" s="23"/>
      <c r="H18" s="23"/>
      <c r="I18" s="219">
        <v>1</v>
      </c>
      <c r="J18" s="44" t="s">
        <v>566</v>
      </c>
      <c r="K18" s="44" t="s">
        <v>80</v>
      </c>
      <c r="L18" s="44"/>
      <c r="M18" s="44"/>
    </row>
    <row r="19" spans="1:16" ht="30" x14ac:dyDescent="0.25">
      <c r="A19" s="162" t="str">
        <f t="shared" ref="A19:A45" si="3">CONCATENATE($C$3,IF(LEN(ROW(A19)-$C$2+1)=1,"00",IF(LEN(ROW(A19)-$C$2+1)=2,"0","")),ROW(A19)-$C$2+1)</f>
        <v>PROT002</v>
      </c>
      <c r="B19" s="177" t="str">
        <f t="shared" si="1"/>
        <v>Abschotten sicherheitsrelevanter Systeme</v>
      </c>
      <c r="C19" s="177" t="str">
        <f t="shared" si="2"/>
        <v/>
      </c>
      <c r="D19" s="157">
        <f t="shared" ref="D19:D22" si="4">IF(I19=0,"",I19)</f>
        <v>3</v>
      </c>
      <c r="E19" s="157"/>
      <c r="F19" s="158">
        <f t="shared" ref="F19:F45" si="5">IF(E19="",IF(D19="","",D19),E19)</f>
        <v>3</v>
      </c>
      <c r="I19" s="219">
        <v>3</v>
      </c>
      <c r="J19" s="44" t="s">
        <v>753</v>
      </c>
      <c r="K19" s="44" t="s">
        <v>754</v>
      </c>
      <c r="L19" s="44"/>
      <c r="M19" s="44"/>
    </row>
    <row r="20" spans="1:16" x14ac:dyDescent="0.25">
      <c r="A20" s="162" t="str">
        <f t="shared" si="3"/>
        <v>PROT003</v>
      </c>
      <c r="B20" s="177" t="str">
        <f t="shared" si="1"/>
        <v>Hardware / Software Redundanz</v>
      </c>
      <c r="C20" s="177" t="str">
        <f t="shared" si="2"/>
        <v/>
      </c>
      <c r="D20" s="157">
        <f t="shared" si="4"/>
        <v>3</v>
      </c>
      <c r="E20" s="157"/>
      <c r="F20" s="158">
        <f t="shared" si="5"/>
        <v>3</v>
      </c>
      <c r="G20" s="22"/>
      <c r="H20" s="22"/>
      <c r="I20" s="220">
        <v>3</v>
      </c>
      <c r="J20" s="50" t="s">
        <v>775</v>
      </c>
      <c r="K20" s="50" t="s">
        <v>776</v>
      </c>
      <c r="L20" s="45"/>
      <c r="M20" s="45"/>
    </row>
    <row r="21" spans="1:16" x14ac:dyDescent="0.25">
      <c r="A21" s="162" t="str">
        <f t="shared" si="3"/>
        <v>PROT004</v>
      </c>
      <c r="B21" s="177" t="str">
        <f t="shared" si="1"/>
        <v>nur Leserechte / keine Schreibrechte</v>
      </c>
      <c r="C21" s="177" t="str">
        <f t="shared" si="2"/>
        <v/>
      </c>
      <c r="D21" s="157">
        <f t="shared" si="4"/>
        <v>2</v>
      </c>
      <c r="E21" s="157"/>
      <c r="F21" s="158">
        <f t="shared" si="5"/>
        <v>2</v>
      </c>
      <c r="G21" s="22"/>
      <c r="H21" s="22"/>
      <c r="I21" s="220">
        <v>2</v>
      </c>
      <c r="J21" s="50" t="s">
        <v>803</v>
      </c>
      <c r="K21" s="50" t="s">
        <v>804</v>
      </c>
      <c r="L21" s="45"/>
      <c r="M21" s="45"/>
    </row>
    <row r="22" spans="1:16" x14ac:dyDescent="0.25">
      <c r="A22" s="162" t="str">
        <f t="shared" si="3"/>
        <v>PROT005</v>
      </c>
      <c r="B22" s="177" t="str">
        <f t="shared" si="1"/>
        <v>regelmässiger Passwortwechsel</v>
      </c>
      <c r="C22" s="177" t="str">
        <f t="shared" si="2"/>
        <v/>
      </c>
      <c r="D22" s="157">
        <f t="shared" si="4"/>
        <v>2</v>
      </c>
      <c r="E22" s="157"/>
      <c r="F22" s="158">
        <f t="shared" si="5"/>
        <v>2</v>
      </c>
      <c r="G22" s="22"/>
      <c r="H22" s="22"/>
      <c r="I22" s="220">
        <v>2</v>
      </c>
      <c r="J22" s="50" t="s">
        <v>811</v>
      </c>
      <c r="K22" s="50" t="s">
        <v>812</v>
      </c>
      <c r="L22" s="44"/>
      <c r="M22" s="44"/>
    </row>
    <row r="23" spans="1:16" x14ac:dyDescent="0.25">
      <c r="A23" s="162" t="str">
        <f t="shared" si="3"/>
        <v>PROT006</v>
      </c>
      <c r="B23" s="177" t="str">
        <f t="shared" si="1"/>
        <v/>
      </c>
      <c r="C23" s="177" t="str">
        <f t="shared" si="2"/>
        <v/>
      </c>
      <c r="D23" s="157" t="str">
        <f>IF(I23=0,"",I23)</f>
        <v/>
      </c>
      <c r="E23" s="157"/>
      <c r="F23" s="158" t="str">
        <f t="shared" si="5"/>
        <v/>
      </c>
      <c r="G23" s="22"/>
      <c r="H23" s="22"/>
      <c r="I23" s="220"/>
      <c r="J23" s="50"/>
      <c r="K23" s="50"/>
      <c r="L23" s="44"/>
      <c r="M23" s="44"/>
    </row>
    <row r="24" spans="1:16" x14ac:dyDescent="0.25">
      <c r="A24" s="162" t="str">
        <f t="shared" si="3"/>
        <v>PROT007</v>
      </c>
      <c r="B24" s="177" t="str">
        <f t="shared" si="1"/>
        <v/>
      </c>
      <c r="C24" s="177" t="str">
        <f t="shared" si="2"/>
        <v/>
      </c>
      <c r="D24" s="157" t="str">
        <f t="shared" ref="D24:D44" si="6">IF(I24=0,"",I24)</f>
        <v/>
      </c>
      <c r="E24" s="157"/>
      <c r="F24" s="158" t="str">
        <f t="shared" si="5"/>
        <v/>
      </c>
      <c r="G24" s="22"/>
      <c r="H24" s="22"/>
      <c r="I24" s="220"/>
      <c r="J24" s="45"/>
      <c r="K24" s="44"/>
      <c r="L24" s="45"/>
      <c r="M24" s="44"/>
    </row>
    <row r="25" spans="1:16" x14ac:dyDescent="0.25">
      <c r="A25" s="162" t="str">
        <f t="shared" si="3"/>
        <v>PROT008</v>
      </c>
      <c r="B25" s="177" t="str">
        <f t="shared" si="1"/>
        <v/>
      </c>
      <c r="C25" s="177" t="str">
        <f t="shared" si="2"/>
        <v/>
      </c>
      <c r="D25" s="157" t="str">
        <f t="shared" si="6"/>
        <v/>
      </c>
      <c r="E25" s="157"/>
      <c r="F25" s="158" t="str">
        <f t="shared" si="5"/>
        <v/>
      </c>
      <c r="G25" s="22"/>
      <c r="H25" s="22"/>
      <c r="I25" s="220"/>
      <c r="J25" s="50"/>
      <c r="K25" s="50"/>
      <c r="L25" s="45"/>
      <c r="M25" s="45"/>
    </row>
    <row r="26" spans="1:16" x14ac:dyDescent="0.25">
      <c r="A26" s="162" t="str">
        <f t="shared" si="3"/>
        <v>PROT009</v>
      </c>
      <c r="B26" s="177" t="str">
        <f t="shared" si="1"/>
        <v/>
      </c>
      <c r="C26" s="177" t="str">
        <f t="shared" si="2"/>
        <v/>
      </c>
      <c r="D26" s="157" t="str">
        <f t="shared" si="6"/>
        <v/>
      </c>
      <c r="E26" s="157"/>
      <c r="F26" s="158" t="str">
        <f t="shared" si="5"/>
        <v/>
      </c>
      <c r="G26" s="22"/>
      <c r="H26" s="22"/>
      <c r="I26" s="220"/>
      <c r="J26" s="50"/>
      <c r="K26" s="50"/>
      <c r="L26" s="45"/>
      <c r="M26" s="45"/>
    </row>
    <row r="27" spans="1:16" x14ac:dyDescent="0.25">
      <c r="A27" s="162" t="str">
        <f t="shared" si="3"/>
        <v>PROT010</v>
      </c>
      <c r="B27" s="177" t="str">
        <f t="shared" si="1"/>
        <v/>
      </c>
      <c r="C27" s="177" t="str">
        <f t="shared" si="2"/>
        <v/>
      </c>
      <c r="D27" s="157" t="str">
        <f t="shared" si="6"/>
        <v/>
      </c>
      <c r="E27" s="157"/>
      <c r="F27" s="158" t="str">
        <f t="shared" si="5"/>
        <v/>
      </c>
      <c r="G27" s="22"/>
      <c r="H27" s="22"/>
      <c r="I27" s="220"/>
      <c r="J27" s="50"/>
      <c r="K27" s="50"/>
      <c r="L27" s="45"/>
      <c r="M27" s="45"/>
    </row>
    <row r="28" spans="1:16" x14ac:dyDescent="0.25">
      <c r="A28" s="162" t="str">
        <f t="shared" si="3"/>
        <v>PROT011</v>
      </c>
      <c r="B28" s="177" t="str">
        <f t="shared" si="1"/>
        <v/>
      </c>
      <c r="C28" s="177" t="str">
        <f t="shared" si="2"/>
        <v/>
      </c>
      <c r="D28" s="157" t="str">
        <f t="shared" si="6"/>
        <v/>
      </c>
      <c r="E28" s="157"/>
      <c r="F28" s="158" t="str">
        <f t="shared" si="5"/>
        <v/>
      </c>
      <c r="G28" s="22"/>
      <c r="H28" s="22"/>
      <c r="I28" s="220"/>
      <c r="J28" s="45"/>
      <c r="L28" s="45"/>
      <c r="M28" s="45"/>
    </row>
    <row r="29" spans="1:16" x14ac:dyDescent="0.25">
      <c r="A29" s="162" t="str">
        <f t="shared" si="3"/>
        <v>PROT012</v>
      </c>
      <c r="B29" s="177" t="str">
        <f t="shared" si="1"/>
        <v/>
      </c>
      <c r="C29" s="177" t="str">
        <f t="shared" si="2"/>
        <v/>
      </c>
      <c r="D29" s="157" t="str">
        <f t="shared" si="6"/>
        <v/>
      </c>
      <c r="E29" s="157"/>
      <c r="F29" s="158" t="str">
        <f t="shared" si="5"/>
        <v/>
      </c>
      <c r="G29" s="22"/>
      <c r="H29" s="22"/>
      <c r="I29" s="220"/>
      <c r="J29" s="45"/>
      <c r="K29" s="45"/>
      <c r="L29" s="45"/>
      <c r="M29" s="45"/>
    </row>
    <row r="30" spans="1:16" x14ac:dyDescent="0.25">
      <c r="A30" s="162" t="str">
        <f t="shared" si="3"/>
        <v>PROT013</v>
      </c>
      <c r="B30" s="177" t="str">
        <f t="shared" si="1"/>
        <v/>
      </c>
      <c r="C30" s="177" t="str">
        <f t="shared" si="2"/>
        <v/>
      </c>
      <c r="D30" s="157" t="str">
        <f t="shared" si="6"/>
        <v/>
      </c>
      <c r="E30" s="157"/>
      <c r="F30" s="158" t="str">
        <f t="shared" si="5"/>
        <v/>
      </c>
      <c r="G30" s="22"/>
      <c r="H30" s="22"/>
      <c r="I30" s="220"/>
      <c r="J30" s="45"/>
      <c r="K30" s="45"/>
      <c r="L30" s="45"/>
      <c r="M30" s="45"/>
    </row>
    <row r="31" spans="1:16" x14ac:dyDescent="0.25">
      <c r="A31" s="162" t="str">
        <f t="shared" si="3"/>
        <v>PROT014</v>
      </c>
      <c r="B31" s="177" t="str">
        <f t="shared" si="1"/>
        <v/>
      </c>
      <c r="C31" s="177" t="str">
        <f t="shared" si="2"/>
        <v/>
      </c>
      <c r="D31" s="157" t="str">
        <f t="shared" si="6"/>
        <v/>
      </c>
      <c r="E31" s="157"/>
      <c r="F31" s="158" t="str">
        <f t="shared" si="5"/>
        <v/>
      </c>
      <c r="G31" s="22"/>
      <c r="H31" s="22"/>
      <c r="I31" s="220"/>
      <c r="J31" s="45"/>
      <c r="K31" s="45"/>
      <c r="L31" s="45"/>
      <c r="M31" s="45"/>
    </row>
    <row r="32" spans="1:16" x14ac:dyDescent="0.25">
      <c r="A32" s="162" t="str">
        <f t="shared" si="3"/>
        <v>PROT015</v>
      </c>
      <c r="B32" s="177" t="str">
        <f t="shared" si="1"/>
        <v/>
      </c>
      <c r="C32" s="177" t="str">
        <f t="shared" si="2"/>
        <v/>
      </c>
      <c r="D32" s="157" t="str">
        <f t="shared" si="6"/>
        <v/>
      </c>
      <c r="E32" s="157"/>
      <c r="F32" s="158" t="str">
        <f t="shared" si="5"/>
        <v/>
      </c>
      <c r="G32" s="22"/>
      <c r="H32" s="22"/>
      <c r="I32" s="220"/>
      <c r="J32" s="45"/>
      <c r="K32" s="45"/>
      <c r="L32" s="45"/>
      <c r="M32" s="45"/>
    </row>
    <row r="33" spans="1:13" x14ac:dyDescent="0.25">
      <c r="A33" s="162" t="str">
        <f t="shared" si="3"/>
        <v>PROT016</v>
      </c>
      <c r="B33" s="177" t="str">
        <f t="shared" si="1"/>
        <v/>
      </c>
      <c r="C33" s="177" t="str">
        <f t="shared" si="2"/>
        <v/>
      </c>
      <c r="D33" s="157" t="str">
        <f t="shared" si="6"/>
        <v/>
      </c>
      <c r="E33" s="157"/>
      <c r="F33" s="158" t="str">
        <f t="shared" si="5"/>
        <v/>
      </c>
      <c r="G33" s="22"/>
      <c r="H33" s="22"/>
      <c r="I33" s="220"/>
      <c r="J33" s="45"/>
      <c r="K33" s="45"/>
      <c r="L33" s="45"/>
      <c r="M33" s="45"/>
    </row>
    <row r="34" spans="1:13" x14ac:dyDescent="0.25">
      <c r="A34" s="162" t="str">
        <f t="shared" si="3"/>
        <v>PROT017</v>
      </c>
      <c r="B34" s="177" t="str">
        <f t="shared" si="1"/>
        <v/>
      </c>
      <c r="C34" s="177" t="str">
        <f t="shared" si="2"/>
        <v/>
      </c>
      <c r="D34" s="157" t="str">
        <f t="shared" si="6"/>
        <v/>
      </c>
      <c r="E34" s="157"/>
      <c r="F34" s="158" t="str">
        <f t="shared" si="5"/>
        <v/>
      </c>
      <c r="G34" s="22"/>
      <c r="H34" s="22"/>
      <c r="I34" s="220"/>
      <c r="J34" s="45"/>
      <c r="K34" s="45"/>
      <c r="L34" s="45"/>
      <c r="M34" s="45"/>
    </row>
    <row r="35" spans="1:13" x14ac:dyDescent="0.25">
      <c r="A35" s="162" t="str">
        <f t="shared" si="3"/>
        <v>PROT018</v>
      </c>
      <c r="B35" s="177" t="str">
        <f t="shared" si="1"/>
        <v/>
      </c>
      <c r="C35" s="177" t="str">
        <f t="shared" si="2"/>
        <v/>
      </c>
      <c r="D35" s="157" t="str">
        <f t="shared" si="6"/>
        <v/>
      </c>
      <c r="E35" s="157"/>
      <c r="F35" s="158" t="str">
        <f t="shared" si="5"/>
        <v/>
      </c>
      <c r="G35" s="22"/>
      <c r="H35" s="22"/>
      <c r="I35" s="220"/>
      <c r="J35" s="45"/>
      <c r="K35" s="45"/>
      <c r="L35" s="45"/>
      <c r="M35" s="45"/>
    </row>
    <row r="36" spans="1:13" x14ac:dyDescent="0.25">
      <c r="A36" s="162" t="str">
        <f t="shared" si="3"/>
        <v>PROT019</v>
      </c>
      <c r="B36" s="177" t="str">
        <f t="shared" si="1"/>
        <v/>
      </c>
      <c r="C36" s="177" t="str">
        <f t="shared" si="2"/>
        <v/>
      </c>
      <c r="D36" s="157" t="str">
        <f t="shared" si="6"/>
        <v/>
      </c>
      <c r="E36" s="157"/>
      <c r="F36" s="158" t="str">
        <f>IF(E36="",IF(D36="","",D36),E36)</f>
        <v/>
      </c>
      <c r="G36" s="22"/>
      <c r="H36" s="22"/>
      <c r="I36" s="220"/>
      <c r="J36" s="45"/>
      <c r="K36" s="45"/>
      <c r="L36" s="45"/>
      <c r="M36" s="45"/>
    </row>
    <row r="37" spans="1:13" x14ac:dyDescent="0.25">
      <c r="A37" s="162" t="str">
        <f t="shared" si="3"/>
        <v>PROT020</v>
      </c>
      <c r="B37" s="177" t="str">
        <f t="shared" si="1"/>
        <v/>
      </c>
      <c r="C37" s="177" t="str">
        <f t="shared" si="2"/>
        <v/>
      </c>
      <c r="D37" s="157" t="str">
        <f t="shared" si="6"/>
        <v/>
      </c>
      <c r="E37" s="157"/>
      <c r="F37" s="158" t="str">
        <f t="shared" si="5"/>
        <v/>
      </c>
      <c r="G37" s="22"/>
      <c r="H37" s="22"/>
      <c r="I37" s="220"/>
      <c r="J37" s="45"/>
      <c r="K37" s="45"/>
      <c r="L37" s="45"/>
      <c r="M37" s="45"/>
    </row>
    <row r="38" spans="1:13" x14ac:dyDescent="0.25">
      <c r="A38" s="162" t="str">
        <f t="shared" si="3"/>
        <v>PROT021</v>
      </c>
      <c r="B38" s="177" t="str">
        <f t="shared" si="1"/>
        <v/>
      </c>
      <c r="C38" s="177" t="str">
        <f t="shared" si="2"/>
        <v/>
      </c>
      <c r="D38" s="157" t="str">
        <f t="shared" si="6"/>
        <v/>
      </c>
      <c r="E38" s="157"/>
      <c r="F38" s="158" t="str">
        <f t="shared" si="5"/>
        <v/>
      </c>
      <c r="G38" s="22"/>
      <c r="H38" s="22"/>
      <c r="I38" s="220"/>
      <c r="J38" s="45"/>
      <c r="K38" s="45"/>
      <c r="L38" s="45"/>
      <c r="M38" s="45"/>
    </row>
    <row r="39" spans="1:13" x14ac:dyDescent="0.25">
      <c r="A39" s="162" t="str">
        <f t="shared" si="3"/>
        <v>PROT022</v>
      </c>
      <c r="B39" s="177" t="str">
        <f t="shared" si="1"/>
        <v/>
      </c>
      <c r="C39" s="177" t="str">
        <f t="shared" si="2"/>
        <v/>
      </c>
      <c r="D39" s="157" t="str">
        <f t="shared" si="6"/>
        <v/>
      </c>
      <c r="E39" s="157"/>
      <c r="F39" s="158" t="str">
        <f t="shared" si="5"/>
        <v/>
      </c>
      <c r="G39" s="22"/>
      <c r="H39" s="22"/>
      <c r="I39" s="220"/>
      <c r="J39" s="45"/>
      <c r="K39" s="45"/>
      <c r="L39" s="45"/>
      <c r="M39" s="45"/>
    </row>
    <row r="40" spans="1:13" x14ac:dyDescent="0.25">
      <c r="A40" s="162" t="str">
        <f t="shared" si="3"/>
        <v>PROT023</v>
      </c>
      <c r="B40" s="177" t="str">
        <f t="shared" si="1"/>
        <v/>
      </c>
      <c r="C40" s="177" t="str">
        <f t="shared" si="2"/>
        <v/>
      </c>
      <c r="D40" s="157" t="str">
        <f t="shared" si="6"/>
        <v/>
      </c>
      <c r="E40" s="157"/>
      <c r="F40" s="158" t="str">
        <f t="shared" si="5"/>
        <v/>
      </c>
      <c r="G40" s="22"/>
      <c r="H40" s="22"/>
      <c r="I40" s="220"/>
      <c r="J40" s="45"/>
      <c r="K40" s="45"/>
      <c r="L40" s="45"/>
      <c r="M40" s="45"/>
    </row>
    <row r="41" spans="1:13" x14ac:dyDescent="0.25">
      <c r="A41" s="162" t="str">
        <f t="shared" si="3"/>
        <v>PROT024</v>
      </c>
      <c r="B41" s="177" t="str">
        <f t="shared" si="1"/>
        <v/>
      </c>
      <c r="C41" s="177" t="str">
        <f t="shared" si="2"/>
        <v/>
      </c>
      <c r="D41" s="157" t="str">
        <f t="shared" si="6"/>
        <v/>
      </c>
      <c r="E41" s="157"/>
      <c r="F41" s="158" t="str">
        <f t="shared" si="5"/>
        <v/>
      </c>
      <c r="G41" s="22"/>
      <c r="H41" s="22"/>
      <c r="I41" s="220"/>
      <c r="J41" s="45"/>
      <c r="K41" s="45"/>
      <c r="L41" s="45"/>
      <c r="M41" s="45"/>
    </row>
    <row r="42" spans="1:13" x14ac:dyDescent="0.25">
      <c r="A42" s="162" t="str">
        <f t="shared" si="3"/>
        <v>PROT025</v>
      </c>
      <c r="B42" s="177" t="str">
        <f t="shared" si="1"/>
        <v/>
      </c>
      <c r="C42" s="177" t="str">
        <f t="shared" si="2"/>
        <v/>
      </c>
      <c r="D42" s="157" t="str">
        <f t="shared" si="6"/>
        <v/>
      </c>
      <c r="E42" s="157"/>
      <c r="F42" s="158" t="str">
        <f t="shared" si="5"/>
        <v/>
      </c>
      <c r="G42" s="22"/>
      <c r="H42" s="22"/>
      <c r="I42" s="220"/>
      <c r="J42" s="45"/>
      <c r="K42" s="45"/>
      <c r="L42" s="45"/>
      <c r="M42" s="45"/>
    </row>
    <row r="43" spans="1:13" x14ac:dyDescent="0.25">
      <c r="A43" s="162" t="str">
        <f t="shared" si="3"/>
        <v>PROT026</v>
      </c>
      <c r="B43" s="177" t="str">
        <f t="shared" si="1"/>
        <v/>
      </c>
      <c r="C43" s="177" t="str">
        <f t="shared" si="2"/>
        <v/>
      </c>
      <c r="D43" s="157" t="str">
        <f t="shared" si="6"/>
        <v/>
      </c>
      <c r="E43" s="157"/>
      <c r="F43" s="158" t="str">
        <f t="shared" si="5"/>
        <v/>
      </c>
      <c r="G43" s="22"/>
      <c r="H43" s="22"/>
      <c r="I43" s="220"/>
      <c r="J43" s="45"/>
      <c r="K43" s="45"/>
      <c r="L43" s="45"/>
      <c r="M43" s="45"/>
    </row>
    <row r="44" spans="1:13" x14ac:dyDescent="0.25">
      <c r="A44" s="162" t="str">
        <f t="shared" si="3"/>
        <v>PROT027</v>
      </c>
      <c r="B44" s="177" t="str">
        <f t="shared" si="1"/>
        <v/>
      </c>
      <c r="C44" s="177" t="str">
        <f t="shared" si="2"/>
        <v/>
      </c>
      <c r="D44" s="157" t="str">
        <f t="shared" si="6"/>
        <v/>
      </c>
      <c r="E44" s="157"/>
      <c r="F44" s="158" t="str">
        <f t="shared" si="5"/>
        <v/>
      </c>
      <c r="G44" s="22"/>
      <c r="H44" s="22"/>
      <c r="I44" s="220"/>
      <c r="J44" s="45"/>
      <c r="K44" s="45"/>
      <c r="L44" s="45"/>
      <c r="M44" s="45"/>
    </row>
    <row r="45" spans="1:13" ht="15.75" thickBot="1" x14ac:dyDescent="0.3">
      <c r="A45" s="163" t="str">
        <f t="shared" si="3"/>
        <v>PROT028</v>
      </c>
      <c r="B45" s="178" t="str">
        <f t="shared" si="1"/>
        <v/>
      </c>
      <c r="C45" s="178" t="str">
        <f t="shared" si="2"/>
        <v/>
      </c>
      <c r="D45" s="159" t="str">
        <f>IF(I45=0,"",I45)</f>
        <v/>
      </c>
      <c r="E45" s="159"/>
      <c r="F45" s="160" t="str">
        <f t="shared" si="5"/>
        <v/>
      </c>
      <c r="G45" s="22"/>
      <c r="H45" s="22"/>
      <c r="I45" s="220"/>
      <c r="J45" s="44"/>
      <c r="K45" s="44"/>
      <c r="L45" s="44"/>
      <c r="M45" s="44"/>
    </row>
    <row r="46" spans="1:13" x14ac:dyDescent="0.25">
      <c r="G46" t="s">
        <v>171</v>
      </c>
    </row>
  </sheetData>
  <sheetProtection sheet="1" formatCells="0" formatColumns="0" formatRows="0" insertColumns="0" insertRows="0" insertHyperlinks="0" deleteColumns="0" deleteRows="0" sort="0" autoFilter="0" pivotTables="0"/>
  <autoFilter ref="A17:C17"/>
  <conditionalFormatting sqref="A18:C45 E18:F45">
    <cfRule type="expression" dxfId="3" priority="7">
      <formula>MOD(ROW(),2)=0</formula>
    </cfRule>
    <cfRule type="expression" priority="8">
      <formula>MOD(ROW(),2)=1</formula>
    </cfRule>
  </conditionalFormatting>
  <conditionalFormatting sqref="D18:D45">
    <cfRule type="expression" dxfId="2" priority="1">
      <formula>MOD(ROW(),2)=0</formula>
    </cfRule>
    <cfRule type="expression" priority="2">
      <formula>MOD(ROW(),2)=1</formula>
    </cfRule>
  </conditionalFormatting>
  <dataValidations count="1">
    <dataValidation allowBlank="1" showErrorMessage="1" errorTitle="wrong entry / flasche Eingabe" error="the number has to start with &quot;CE&quot;_x000a_Die Nummer muss mit &quot;CE&quot; beginnen" sqref="A18:A45"/>
  </dataValidations>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tabColor theme="6" tint="-0.249977111117893"/>
  </sheetPr>
  <dimension ref="A1:P46"/>
  <sheetViews>
    <sheetView topLeftCell="A15" zoomScaleNormal="100" workbookViewId="0">
      <selection activeCell="A15" sqref="A15"/>
    </sheetView>
  </sheetViews>
  <sheetFormatPr baseColWidth="10" defaultRowHeight="15" outlineLevelRow="1" x14ac:dyDescent="0.25"/>
  <cols>
    <col min="1" max="1" width="10" customWidth="1"/>
    <col min="2" max="2" width="38.85546875" customWidth="1"/>
    <col min="3" max="3" width="46.5703125" customWidth="1"/>
    <col min="4" max="6" width="11.7109375" customWidth="1"/>
    <col min="7" max="7" width="5" customWidth="1"/>
    <col min="8" max="8" width="17.28515625" customWidth="1"/>
    <col min="9" max="9" width="46" style="13" customWidth="1"/>
    <col min="10" max="10" width="46" customWidth="1"/>
    <col min="11" max="13" width="53.5703125" customWidth="1"/>
  </cols>
  <sheetData>
    <row r="1" spans="1:11" ht="18" hidden="1" outlineLevel="1" x14ac:dyDescent="0.25">
      <c r="A1" s="31" t="str">
        <f>VLOOKUP(1003,LANGUAGE_DB,2)</f>
        <v>Einstellungen</v>
      </c>
      <c r="B1" s="47"/>
      <c r="D1" s="49"/>
      <c r="E1" s="49"/>
      <c r="F1" s="49"/>
    </row>
    <row r="2" spans="1:11" ht="15.75" hidden="1" outlineLevel="1" thickBot="1" x14ac:dyDescent="0.3">
      <c r="A2" s="48" t="str">
        <f>VLOOKUP(1004,LANGUAGE_DB,2)</f>
        <v>erster Eintrag in Zeile</v>
      </c>
      <c r="C2" s="46">
        <f>ROW(G17)+1</f>
        <v>18</v>
      </c>
      <c r="D2" s="49"/>
      <c r="E2" s="49"/>
      <c r="F2" s="49"/>
    </row>
    <row r="3" spans="1:11" ht="15.75" hidden="1" outlineLevel="1" thickBot="1" x14ac:dyDescent="0.3">
      <c r="A3" s="48" t="str">
        <f>VLOOKUP(1005,LANGUAGE_DB,2)</f>
        <v>Kurznummer für Liste</v>
      </c>
      <c r="C3" s="46" t="s">
        <v>421</v>
      </c>
      <c r="D3" s="49"/>
      <c r="E3" s="49"/>
      <c r="F3" s="49"/>
    </row>
    <row r="4" spans="1:11" s="128" customFormat="1" ht="15.75" hidden="1" outlineLevel="1" thickBot="1" x14ac:dyDescent="0.3">
      <c r="A4" s="48" t="str">
        <f>VLOOKUP(5065,LANGUAGE_DB,2)</f>
        <v>letzter  Eintrag in Zeile</v>
      </c>
      <c r="C4" s="46">
        <f>ROW(G46)-1</f>
        <v>45</v>
      </c>
      <c r="D4" s="49"/>
      <c r="E4" s="49"/>
      <c r="F4" s="49"/>
      <c r="I4" s="13"/>
    </row>
    <row r="5" spans="1:11" hidden="1" outlineLevel="1" x14ac:dyDescent="0.25">
      <c r="A5" s="48"/>
      <c r="C5" s="49"/>
      <c r="D5" s="49"/>
      <c r="E5" s="49"/>
      <c r="F5" s="49"/>
    </row>
    <row r="6" spans="1:11" hidden="1" outlineLevel="1" x14ac:dyDescent="0.25">
      <c r="A6" s="48"/>
      <c r="C6" s="49"/>
      <c r="D6" s="49"/>
      <c r="E6" s="49"/>
      <c r="F6" s="49"/>
    </row>
    <row r="7" spans="1:11" hidden="1" outlineLevel="1" x14ac:dyDescent="0.25">
      <c r="A7" s="48"/>
      <c r="C7" s="49"/>
      <c r="D7" s="49"/>
      <c r="E7" s="49"/>
      <c r="F7" s="49"/>
    </row>
    <row r="8" spans="1:11" hidden="1" outlineLevel="1" x14ac:dyDescent="0.25">
      <c r="A8" s="48"/>
      <c r="C8" s="49"/>
      <c r="D8" s="49"/>
      <c r="E8" s="49"/>
      <c r="F8" s="49"/>
    </row>
    <row r="9" spans="1:11" hidden="1" outlineLevel="1" x14ac:dyDescent="0.25">
      <c r="A9" s="48"/>
      <c r="C9" s="49"/>
      <c r="D9" s="49"/>
      <c r="E9" s="49"/>
      <c r="F9" s="49"/>
    </row>
    <row r="10" spans="1:11" hidden="1" outlineLevel="1" x14ac:dyDescent="0.25">
      <c r="A10" s="48"/>
      <c r="C10" s="49"/>
      <c r="D10" s="49"/>
      <c r="E10" s="49"/>
      <c r="F10" s="49"/>
    </row>
    <row r="11" spans="1:11" hidden="1" outlineLevel="1" x14ac:dyDescent="0.25">
      <c r="A11" s="48"/>
      <c r="C11" s="49"/>
      <c r="D11" s="49"/>
      <c r="E11" s="49"/>
      <c r="F11" s="49"/>
    </row>
    <row r="12" spans="1:11" hidden="1" outlineLevel="1" x14ac:dyDescent="0.25">
      <c r="A12" s="48"/>
      <c r="C12" s="49"/>
      <c r="D12" s="49"/>
      <c r="E12" s="49"/>
      <c r="F12" s="49"/>
    </row>
    <row r="13" spans="1:11" hidden="1" outlineLevel="1" x14ac:dyDescent="0.25">
      <c r="A13" s="48"/>
      <c r="C13" s="49"/>
      <c r="D13" s="49"/>
      <c r="E13" s="49"/>
      <c r="F13" s="49"/>
    </row>
    <row r="14" spans="1:11" hidden="1" outlineLevel="1" x14ac:dyDescent="0.25">
      <c r="A14" s="48"/>
      <c r="C14" s="49"/>
      <c r="D14" s="49"/>
      <c r="E14" s="49"/>
      <c r="F14" s="49"/>
    </row>
    <row r="15" spans="1:11" ht="18" collapsed="1" x14ac:dyDescent="0.25">
      <c r="A15" s="31" t="str">
        <f>CONCATENATE("PALL_DB - ",VLOOKUP(H15,LANGUAGE_DB,2,FALSE))</f>
        <v>PALL_DB - abschwächende/lindernde Massnahme</v>
      </c>
      <c r="C15" s="49"/>
      <c r="D15" s="49"/>
      <c r="E15" s="49"/>
      <c r="F15" s="49"/>
      <c r="H15">
        <v>7025</v>
      </c>
    </row>
    <row r="16" spans="1:11" ht="15.75" thickBot="1" x14ac:dyDescent="0.3">
      <c r="J16" s="24"/>
      <c r="K16" s="24"/>
    </row>
    <row r="17" spans="1:16" ht="31.5" customHeight="1" thickBot="1" x14ac:dyDescent="0.3">
      <c r="A17" s="25" t="str">
        <f>VLOOKUP(5004,LANGUAGE_DB,2)</f>
        <v>Referenz Nummer</v>
      </c>
      <c r="B17" s="26" t="str">
        <f>VLOOKUP(H15,LANGUAGE_DB,2,FALSE)</f>
        <v>abschwächende/lindernde Massnahme</v>
      </c>
      <c r="C17" s="25" t="str">
        <f t="shared" ref="C17" si="0">IF(L17="","",IF(Language_chosen=0,L17,M17))</f>
        <v>Beschreibung</v>
      </c>
      <c r="D17" s="173" t="str">
        <f>VLOOKUP(5014,LANGUAGE_DB,2,FALSE)</f>
        <v>vordefinierte Wertung</v>
      </c>
      <c r="E17" s="173" t="str">
        <f>VLOOKUP(5015,LANGUAGE_DB,2,FALSE)</f>
        <v>manuelle Wertung</v>
      </c>
      <c r="F17" s="173" t="str">
        <f>VLOOKUP(5016,LANGUAGE_DB,2,FALSE)</f>
        <v>effektive Wertung</v>
      </c>
      <c r="H17" s="21" t="s">
        <v>104</v>
      </c>
      <c r="I17" s="174" t="str">
        <f>VLOOKUP(5014,LANGUAGE_DB,2,FALSE)</f>
        <v>vordefinierte Wertung</v>
      </c>
      <c r="J17" s="21" t="str">
        <f>CONCATENATE(VLOOKUP(H15,LANGUAGE_DB,2,FALSE)," - DE")</f>
        <v>abschwächende/lindernde Massnahme - DE</v>
      </c>
      <c r="K17" s="21" t="str">
        <f>CONCATENATE(VLOOKUP(H15,LANGUAGE_DB,2,FALSE)," - EN")</f>
        <v>abschwächende/lindernde Massnahme - EN</v>
      </c>
      <c r="L17" s="21" t="s">
        <v>208</v>
      </c>
      <c r="M17" s="21" t="s">
        <v>209</v>
      </c>
      <c r="N17" s="21"/>
      <c r="O17" s="14"/>
      <c r="P17" s="14"/>
    </row>
    <row r="18" spans="1:16" x14ac:dyDescent="0.25">
      <c r="A18" s="161" t="str">
        <f>CONCATENATE($C$3,IF(LEN(ROW(A18)-$C$2+1)=1,"00",IF(LEN(ROW(A18)-$C$2+1)=2,"0","")),ROW(A18)-$C$2+1)</f>
        <v>PALL001</v>
      </c>
      <c r="B18" s="176" t="str">
        <f t="shared" ref="B18:B45" si="1">IF(J18="","",IF(Language_chosen=0,J18,K18))</f>
        <v>keine</v>
      </c>
      <c r="C18" s="176" t="str">
        <f t="shared" ref="C18:C45" si="2">IF(L18="","",IF(Language_chosen=0,L18,M18))</f>
        <v/>
      </c>
      <c r="D18" s="155">
        <f>IF(I18=0,"",I18)</f>
        <v>1</v>
      </c>
      <c r="E18" s="155"/>
      <c r="F18" s="156">
        <f>IF(E18="",IF(D18="","",D18),E18)</f>
        <v>1</v>
      </c>
      <c r="G18" s="23"/>
      <c r="H18" s="23"/>
      <c r="I18" s="219">
        <v>1</v>
      </c>
      <c r="J18" s="44" t="s">
        <v>566</v>
      </c>
      <c r="K18" s="44" t="s">
        <v>80</v>
      </c>
      <c r="L18" s="44"/>
      <c r="M18" s="44"/>
    </row>
    <row r="19" spans="1:16" x14ac:dyDescent="0.25">
      <c r="A19" s="162" t="str">
        <f t="shared" ref="A19:A45" si="3">CONCATENATE($C$3,IF(LEN(ROW(A19)-$C$2+1)=1,"00",IF(LEN(ROW(A19)-$C$2+1)=2,"0","")),ROW(A19)-$C$2+1)</f>
        <v>PALL002</v>
      </c>
      <c r="B19" s="177" t="str">
        <f t="shared" si="1"/>
        <v>manueller Feuerlöscher</v>
      </c>
      <c r="C19" s="177" t="str">
        <f t="shared" si="2"/>
        <v/>
      </c>
      <c r="D19" s="157">
        <f t="shared" ref="D19:D22" si="4">IF(I19=0,"",I19)</f>
        <v>2</v>
      </c>
      <c r="E19" s="157"/>
      <c r="F19" s="158">
        <f t="shared" ref="F19:F45" si="5">IF(E19="",IF(D19="","",D19),E19)</f>
        <v>2</v>
      </c>
      <c r="I19" s="219">
        <v>2</v>
      </c>
      <c r="J19" s="44" t="s">
        <v>567</v>
      </c>
      <c r="K19" s="44" t="s">
        <v>568</v>
      </c>
      <c r="L19" s="44"/>
      <c r="M19" s="44"/>
    </row>
    <row r="20" spans="1:16" x14ac:dyDescent="0.25">
      <c r="A20" s="162" t="str">
        <f t="shared" si="3"/>
        <v>PALL003</v>
      </c>
      <c r="B20" s="177" t="str">
        <f t="shared" si="1"/>
        <v>automatischer Feuerlöscher (Sprinkler)</v>
      </c>
      <c r="C20" s="177" t="str">
        <f t="shared" si="2"/>
        <v/>
      </c>
      <c r="D20" s="157">
        <f t="shared" si="4"/>
        <v>3</v>
      </c>
      <c r="E20" s="157"/>
      <c r="F20" s="158">
        <f t="shared" si="5"/>
        <v>3</v>
      </c>
      <c r="G20" s="22"/>
      <c r="H20" s="22"/>
      <c r="I20" s="220">
        <v>3</v>
      </c>
      <c r="J20" s="44" t="s">
        <v>570</v>
      </c>
      <c r="K20" s="44" t="s">
        <v>569</v>
      </c>
      <c r="L20" s="45"/>
      <c r="M20" s="45"/>
    </row>
    <row r="21" spans="1:16" x14ac:dyDescent="0.25">
      <c r="A21" s="162" t="str">
        <f t="shared" si="3"/>
        <v>PALL004</v>
      </c>
      <c r="B21" s="177" t="str">
        <f t="shared" si="1"/>
        <v>Backup ausser Haus</v>
      </c>
      <c r="C21" s="177" t="str">
        <f t="shared" si="2"/>
        <v/>
      </c>
      <c r="D21" s="157">
        <f t="shared" si="4"/>
        <v>3</v>
      </c>
      <c r="E21" s="157"/>
      <c r="F21" s="158">
        <f t="shared" si="5"/>
        <v>3</v>
      </c>
      <c r="G21" s="22"/>
      <c r="H21" s="22"/>
      <c r="I21" s="220">
        <v>3</v>
      </c>
      <c r="J21" s="45" t="s">
        <v>571</v>
      </c>
      <c r="K21" s="44" t="s">
        <v>572</v>
      </c>
      <c r="L21" s="45"/>
      <c r="M21" s="45"/>
    </row>
    <row r="22" spans="1:16" x14ac:dyDescent="0.25">
      <c r="A22" s="162" t="str">
        <f t="shared" si="3"/>
        <v>PALL005</v>
      </c>
      <c r="B22" s="177" t="str">
        <f t="shared" si="1"/>
        <v>benutzen von falschen Identitäten</v>
      </c>
      <c r="C22" s="177" t="str">
        <f t="shared" si="2"/>
        <v/>
      </c>
      <c r="D22" s="157">
        <f t="shared" si="4"/>
        <v>2</v>
      </c>
      <c r="E22" s="157"/>
      <c r="F22" s="158">
        <f t="shared" si="5"/>
        <v>2</v>
      </c>
      <c r="G22" s="22"/>
      <c r="H22" s="22"/>
      <c r="I22" s="220">
        <v>2</v>
      </c>
      <c r="J22" s="50" t="s">
        <v>749</v>
      </c>
      <c r="K22" s="50" t="s">
        <v>709</v>
      </c>
      <c r="L22" s="44"/>
      <c r="M22" s="44"/>
    </row>
    <row r="23" spans="1:16" ht="30" x14ac:dyDescent="0.25">
      <c r="A23" s="162" t="str">
        <f t="shared" si="3"/>
        <v>PALL006</v>
      </c>
      <c r="B23" s="177" t="str">
        <f t="shared" si="1"/>
        <v>Versicherung des Gegenstandes / der Situation</v>
      </c>
      <c r="C23" s="177" t="str">
        <f t="shared" si="2"/>
        <v/>
      </c>
      <c r="D23" s="157">
        <f>IF(I23=0,"",I23)</f>
        <v>2</v>
      </c>
      <c r="E23" s="157"/>
      <c r="F23" s="158">
        <f t="shared" si="5"/>
        <v>2</v>
      </c>
      <c r="G23" s="22"/>
      <c r="H23" s="22"/>
      <c r="I23" s="220">
        <v>2</v>
      </c>
      <c r="J23" s="50" t="s">
        <v>710</v>
      </c>
      <c r="K23" s="50" t="s">
        <v>711</v>
      </c>
      <c r="L23" s="44"/>
      <c r="M23" s="44"/>
    </row>
    <row r="24" spans="1:16" x14ac:dyDescent="0.25">
      <c r="A24" s="162" t="str">
        <f t="shared" si="3"/>
        <v>PALL007</v>
      </c>
      <c r="B24" s="177" t="str">
        <f t="shared" si="1"/>
        <v>Datenbackup</v>
      </c>
      <c r="C24" s="177" t="str">
        <f t="shared" si="2"/>
        <v/>
      </c>
      <c r="D24" s="157">
        <f t="shared" ref="D24:D44" si="6">IF(I24=0,"",I24)</f>
        <v>3</v>
      </c>
      <c r="E24" s="157"/>
      <c r="F24" s="158">
        <f t="shared" si="5"/>
        <v>3</v>
      </c>
      <c r="G24" s="22"/>
      <c r="H24" s="22"/>
      <c r="I24" s="220">
        <v>3</v>
      </c>
      <c r="J24" s="50" t="s">
        <v>773</v>
      </c>
      <c r="K24" s="50" t="s">
        <v>774</v>
      </c>
      <c r="L24" s="45"/>
      <c r="M24" s="44"/>
    </row>
    <row r="25" spans="1:16" ht="30" x14ac:dyDescent="0.25">
      <c r="A25" s="162" t="str">
        <f t="shared" si="3"/>
        <v>PALL008</v>
      </c>
      <c r="B25" s="177" t="str">
        <f t="shared" si="1"/>
        <v>redundantes System ohne direkte Verbindung zum Hauptsystem</v>
      </c>
      <c r="C25" s="177" t="str">
        <f t="shared" si="2"/>
        <v/>
      </c>
      <c r="D25" s="157">
        <f t="shared" si="6"/>
        <v>3</v>
      </c>
      <c r="E25" s="157"/>
      <c r="F25" s="158">
        <f t="shared" si="5"/>
        <v>3</v>
      </c>
      <c r="G25" s="22"/>
      <c r="H25" s="22"/>
      <c r="I25" s="220">
        <v>3</v>
      </c>
      <c r="J25" s="50" t="s">
        <v>813</v>
      </c>
      <c r="K25" s="50" t="s">
        <v>814</v>
      </c>
      <c r="L25" s="45"/>
      <c r="M25" s="45"/>
    </row>
    <row r="26" spans="1:16" x14ac:dyDescent="0.25">
      <c r="A26" s="162" t="str">
        <f t="shared" si="3"/>
        <v>PALL009</v>
      </c>
      <c r="B26" s="177" t="str">
        <f t="shared" si="1"/>
        <v/>
      </c>
      <c r="C26" s="177" t="str">
        <f t="shared" si="2"/>
        <v/>
      </c>
      <c r="D26" s="157" t="str">
        <f t="shared" si="6"/>
        <v/>
      </c>
      <c r="E26" s="157"/>
      <c r="F26" s="158" t="str">
        <f t="shared" si="5"/>
        <v/>
      </c>
      <c r="G26" s="22"/>
      <c r="H26" s="22"/>
      <c r="I26" s="220"/>
      <c r="J26" s="50"/>
      <c r="K26" s="50"/>
      <c r="L26" s="45"/>
      <c r="M26" s="45"/>
    </row>
    <row r="27" spans="1:16" x14ac:dyDescent="0.25">
      <c r="A27" s="162" t="str">
        <f t="shared" si="3"/>
        <v>PALL010</v>
      </c>
      <c r="B27" s="177" t="str">
        <f t="shared" si="1"/>
        <v/>
      </c>
      <c r="C27" s="177" t="str">
        <f t="shared" si="2"/>
        <v/>
      </c>
      <c r="D27" s="157" t="str">
        <f t="shared" si="6"/>
        <v/>
      </c>
      <c r="E27" s="157"/>
      <c r="F27" s="158" t="str">
        <f t="shared" si="5"/>
        <v/>
      </c>
      <c r="G27" s="22"/>
      <c r="H27" s="22"/>
      <c r="I27" s="220"/>
      <c r="J27" s="50"/>
      <c r="K27" s="50"/>
      <c r="L27" s="45"/>
      <c r="M27" s="45"/>
    </row>
    <row r="28" spans="1:16" x14ac:dyDescent="0.25">
      <c r="A28" s="162" t="str">
        <f t="shared" si="3"/>
        <v>PALL011</v>
      </c>
      <c r="B28" s="177" t="str">
        <f t="shared" si="1"/>
        <v/>
      </c>
      <c r="C28" s="177" t="str">
        <f t="shared" si="2"/>
        <v/>
      </c>
      <c r="D28" s="157" t="str">
        <f t="shared" si="6"/>
        <v/>
      </c>
      <c r="E28" s="157"/>
      <c r="F28" s="158" t="str">
        <f t="shared" si="5"/>
        <v/>
      </c>
      <c r="G28" s="22"/>
      <c r="H28" s="22"/>
      <c r="I28" s="220"/>
      <c r="J28" s="45"/>
      <c r="L28" s="45"/>
      <c r="M28" s="45"/>
    </row>
    <row r="29" spans="1:16" x14ac:dyDescent="0.25">
      <c r="A29" s="162" t="str">
        <f t="shared" si="3"/>
        <v>PALL012</v>
      </c>
      <c r="B29" s="177" t="str">
        <f t="shared" si="1"/>
        <v/>
      </c>
      <c r="C29" s="177" t="str">
        <f t="shared" si="2"/>
        <v/>
      </c>
      <c r="D29" s="157" t="str">
        <f t="shared" si="6"/>
        <v/>
      </c>
      <c r="E29" s="157"/>
      <c r="F29" s="158" t="str">
        <f t="shared" si="5"/>
        <v/>
      </c>
      <c r="G29" s="22"/>
      <c r="H29" s="22"/>
      <c r="I29" s="220"/>
      <c r="J29" s="45"/>
      <c r="K29" s="45"/>
      <c r="L29" s="45"/>
      <c r="M29" s="45"/>
    </row>
    <row r="30" spans="1:16" x14ac:dyDescent="0.25">
      <c r="A30" s="162" t="str">
        <f t="shared" si="3"/>
        <v>PALL013</v>
      </c>
      <c r="B30" s="177" t="str">
        <f t="shared" si="1"/>
        <v/>
      </c>
      <c r="C30" s="177" t="str">
        <f t="shared" si="2"/>
        <v/>
      </c>
      <c r="D30" s="157" t="str">
        <f t="shared" si="6"/>
        <v/>
      </c>
      <c r="E30" s="157"/>
      <c r="F30" s="158" t="str">
        <f t="shared" si="5"/>
        <v/>
      </c>
      <c r="G30" s="22"/>
      <c r="H30" s="22"/>
      <c r="I30" s="220"/>
      <c r="J30" s="45"/>
      <c r="K30" s="45"/>
      <c r="L30" s="45"/>
      <c r="M30" s="45"/>
    </row>
    <row r="31" spans="1:16" x14ac:dyDescent="0.25">
      <c r="A31" s="162" t="str">
        <f t="shared" si="3"/>
        <v>PALL014</v>
      </c>
      <c r="B31" s="177" t="str">
        <f t="shared" si="1"/>
        <v/>
      </c>
      <c r="C31" s="177" t="str">
        <f t="shared" si="2"/>
        <v/>
      </c>
      <c r="D31" s="157" t="str">
        <f t="shared" si="6"/>
        <v/>
      </c>
      <c r="E31" s="157"/>
      <c r="F31" s="158" t="str">
        <f t="shared" si="5"/>
        <v/>
      </c>
      <c r="G31" s="22"/>
      <c r="H31" s="22"/>
      <c r="I31" s="220"/>
      <c r="J31" s="45"/>
      <c r="K31" s="45"/>
      <c r="L31" s="45"/>
      <c r="M31" s="45"/>
    </row>
    <row r="32" spans="1:16" x14ac:dyDescent="0.25">
      <c r="A32" s="162" t="str">
        <f t="shared" si="3"/>
        <v>PALL015</v>
      </c>
      <c r="B32" s="177" t="str">
        <f t="shared" si="1"/>
        <v/>
      </c>
      <c r="C32" s="177" t="str">
        <f t="shared" si="2"/>
        <v/>
      </c>
      <c r="D32" s="157" t="str">
        <f t="shared" si="6"/>
        <v/>
      </c>
      <c r="E32" s="157"/>
      <c r="F32" s="158" t="str">
        <f t="shared" si="5"/>
        <v/>
      </c>
      <c r="G32" s="22"/>
      <c r="H32" s="22"/>
      <c r="I32" s="220"/>
      <c r="J32" s="45"/>
      <c r="K32" s="45"/>
      <c r="L32" s="45"/>
      <c r="M32" s="45"/>
    </row>
    <row r="33" spans="1:13" x14ac:dyDescent="0.25">
      <c r="A33" s="162" t="str">
        <f t="shared" si="3"/>
        <v>PALL016</v>
      </c>
      <c r="B33" s="177" t="str">
        <f t="shared" si="1"/>
        <v/>
      </c>
      <c r="C33" s="177" t="str">
        <f t="shared" si="2"/>
        <v/>
      </c>
      <c r="D33" s="157" t="str">
        <f t="shared" si="6"/>
        <v/>
      </c>
      <c r="E33" s="157"/>
      <c r="F33" s="158" t="str">
        <f t="shared" si="5"/>
        <v/>
      </c>
      <c r="G33" s="22"/>
      <c r="H33" s="22"/>
      <c r="I33" s="220"/>
      <c r="J33" s="45"/>
      <c r="K33" s="45"/>
      <c r="L33" s="45"/>
      <c r="M33" s="45"/>
    </row>
    <row r="34" spans="1:13" x14ac:dyDescent="0.25">
      <c r="A34" s="162" t="str">
        <f t="shared" si="3"/>
        <v>PALL017</v>
      </c>
      <c r="B34" s="177" t="str">
        <f t="shared" si="1"/>
        <v/>
      </c>
      <c r="C34" s="177" t="str">
        <f t="shared" si="2"/>
        <v/>
      </c>
      <c r="D34" s="157" t="str">
        <f t="shared" si="6"/>
        <v/>
      </c>
      <c r="E34" s="157"/>
      <c r="F34" s="158" t="str">
        <f t="shared" si="5"/>
        <v/>
      </c>
      <c r="G34" s="22"/>
      <c r="H34" s="22"/>
      <c r="I34" s="220"/>
      <c r="J34" s="45"/>
      <c r="K34" s="45"/>
      <c r="L34" s="45"/>
      <c r="M34" s="45"/>
    </row>
    <row r="35" spans="1:13" x14ac:dyDescent="0.25">
      <c r="A35" s="162" t="str">
        <f t="shared" si="3"/>
        <v>PALL018</v>
      </c>
      <c r="B35" s="177" t="str">
        <f t="shared" si="1"/>
        <v/>
      </c>
      <c r="C35" s="177" t="str">
        <f t="shared" si="2"/>
        <v/>
      </c>
      <c r="D35" s="157" t="str">
        <f t="shared" si="6"/>
        <v/>
      </c>
      <c r="E35" s="157"/>
      <c r="F35" s="158" t="str">
        <f t="shared" si="5"/>
        <v/>
      </c>
      <c r="G35" s="22"/>
      <c r="H35" s="22"/>
      <c r="I35" s="220"/>
      <c r="J35" s="45"/>
      <c r="K35" s="45"/>
      <c r="L35" s="45"/>
      <c r="M35" s="45"/>
    </row>
    <row r="36" spans="1:13" x14ac:dyDescent="0.25">
      <c r="A36" s="162" t="str">
        <f t="shared" si="3"/>
        <v>PALL019</v>
      </c>
      <c r="B36" s="177" t="str">
        <f t="shared" si="1"/>
        <v/>
      </c>
      <c r="C36" s="177" t="str">
        <f t="shared" si="2"/>
        <v/>
      </c>
      <c r="D36" s="157" t="str">
        <f t="shared" si="6"/>
        <v/>
      </c>
      <c r="E36" s="157"/>
      <c r="F36" s="158" t="str">
        <f>IF(E36="",IF(D36="","",D36),E36)</f>
        <v/>
      </c>
      <c r="G36" s="22"/>
      <c r="H36" s="22"/>
      <c r="I36" s="220"/>
      <c r="J36" s="45"/>
      <c r="K36" s="45"/>
      <c r="L36" s="45"/>
      <c r="M36" s="45"/>
    </row>
    <row r="37" spans="1:13" x14ac:dyDescent="0.25">
      <c r="A37" s="162" t="str">
        <f t="shared" si="3"/>
        <v>PALL020</v>
      </c>
      <c r="B37" s="177" t="str">
        <f t="shared" si="1"/>
        <v/>
      </c>
      <c r="C37" s="177" t="str">
        <f t="shared" si="2"/>
        <v/>
      </c>
      <c r="D37" s="157" t="str">
        <f t="shared" si="6"/>
        <v/>
      </c>
      <c r="E37" s="157"/>
      <c r="F37" s="158" t="str">
        <f t="shared" si="5"/>
        <v/>
      </c>
      <c r="G37" s="22"/>
      <c r="H37" s="22"/>
      <c r="I37" s="220"/>
      <c r="J37" s="45"/>
      <c r="K37" s="45"/>
      <c r="L37" s="45"/>
      <c r="M37" s="45"/>
    </row>
    <row r="38" spans="1:13" x14ac:dyDescent="0.25">
      <c r="A38" s="162" t="str">
        <f t="shared" si="3"/>
        <v>PALL021</v>
      </c>
      <c r="B38" s="177" t="str">
        <f t="shared" si="1"/>
        <v/>
      </c>
      <c r="C38" s="177" t="str">
        <f t="shared" si="2"/>
        <v/>
      </c>
      <c r="D38" s="157" t="str">
        <f t="shared" si="6"/>
        <v/>
      </c>
      <c r="E38" s="157"/>
      <c r="F38" s="158" t="str">
        <f t="shared" si="5"/>
        <v/>
      </c>
      <c r="G38" s="22"/>
      <c r="H38" s="22"/>
      <c r="I38" s="220"/>
      <c r="J38" s="45"/>
      <c r="K38" s="45"/>
      <c r="L38" s="45"/>
      <c r="M38" s="45"/>
    </row>
    <row r="39" spans="1:13" x14ac:dyDescent="0.25">
      <c r="A39" s="162" t="str">
        <f t="shared" si="3"/>
        <v>PALL022</v>
      </c>
      <c r="B39" s="177" t="str">
        <f t="shared" si="1"/>
        <v/>
      </c>
      <c r="C39" s="177" t="str">
        <f t="shared" si="2"/>
        <v/>
      </c>
      <c r="D39" s="157" t="str">
        <f t="shared" si="6"/>
        <v/>
      </c>
      <c r="E39" s="157"/>
      <c r="F39" s="158" t="str">
        <f t="shared" si="5"/>
        <v/>
      </c>
      <c r="G39" s="22"/>
      <c r="H39" s="22"/>
      <c r="I39" s="220"/>
      <c r="J39" s="45"/>
      <c r="K39" s="45"/>
      <c r="L39" s="45"/>
      <c r="M39" s="45"/>
    </row>
    <row r="40" spans="1:13" x14ac:dyDescent="0.25">
      <c r="A40" s="162" t="str">
        <f t="shared" si="3"/>
        <v>PALL023</v>
      </c>
      <c r="B40" s="177" t="str">
        <f t="shared" si="1"/>
        <v/>
      </c>
      <c r="C40" s="177" t="str">
        <f t="shared" si="2"/>
        <v/>
      </c>
      <c r="D40" s="157" t="str">
        <f t="shared" si="6"/>
        <v/>
      </c>
      <c r="E40" s="157"/>
      <c r="F40" s="158" t="str">
        <f t="shared" si="5"/>
        <v/>
      </c>
      <c r="G40" s="22"/>
      <c r="H40" s="22"/>
      <c r="I40" s="220"/>
      <c r="J40" s="45"/>
      <c r="K40" s="45"/>
      <c r="L40" s="45"/>
      <c r="M40" s="45"/>
    </row>
    <row r="41" spans="1:13" x14ac:dyDescent="0.25">
      <c r="A41" s="162" t="str">
        <f t="shared" si="3"/>
        <v>PALL024</v>
      </c>
      <c r="B41" s="177" t="str">
        <f t="shared" si="1"/>
        <v/>
      </c>
      <c r="C41" s="177" t="str">
        <f t="shared" si="2"/>
        <v/>
      </c>
      <c r="D41" s="157" t="str">
        <f t="shared" si="6"/>
        <v/>
      </c>
      <c r="E41" s="157"/>
      <c r="F41" s="158" t="str">
        <f t="shared" si="5"/>
        <v/>
      </c>
      <c r="G41" s="22"/>
      <c r="H41" s="22"/>
      <c r="I41" s="220"/>
      <c r="J41" s="45"/>
      <c r="K41" s="45"/>
      <c r="L41" s="45"/>
      <c r="M41" s="45"/>
    </row>
    <row r="42" spans="1:13" x14ac:dyDescent="0.25">
      <c r="A42" s="162" t="str">
        <f t="shared" si="3"/>
        <v>PALL025</v>
      </c>
      <c r="B42" s="177" t="str">
        <f t="shared" si="1"/>
        <v/>
      </c>
      <c r="C42" s="177" t="str">
        <f t="shared" si="2"/>
        <v/>
      </c>
      <c r="D42" s="157" t="str">
        <f t="shared" si="6"/>
        <v/>
      </c>
      <c r="E42" s="157"/>
      <c r="F42" s="158" t="str">
        <f t="shared" si="5"/>
        <v/>
      </c>
      <c r="G42" s="22"/>
      <c r="H42" s="22"/>
      <c r="I42" s="220"/>
      <c r="J42" s="45"/>
      <c r="K42" s="45"/>
      <c r="L42" s="45"/>
      <c r="M42" s="45"/>
    </row>
    <row r="43" spans="1:13" x14ac:dyDescent="0.25">
      <c r="A43" s="162" t="str">
        <f t="shared" si="3"/>
        <v>PALL026</v>
      </c>
      <c r="B43" s="177" t="str">
        <f t="shared" si="1"/>
        <v/>
      </c>
      <c r="C43" s="177" t="str">
        <f t="shared" si="2"/>
        <v/>
      </c>
      <c r="D43" s="157" t="str">
        <f t="shared" si="6"/>
        <v/>
      </c>
      <c r="E43" s="157"/>
      <c r="F43" s="158" t="str">
        <f t="shared" si="5"/>
        <v/>
      </c>
      <c r="G43" s="22"/>
      <c r="H43" s="22"/>
      <c r="I43" s="220"/>
      <c r="J43" s="45"/>
      <c r="K43" s="45"/>
      <c r="L43" s="45"/>
      <c r="M43" s="45"/>
    </row>
    <row r="44" spans="1:13" x14ac:dyDescent="0.25">
      <c r="A44" s="162" t="str">
        <f t="shared" si="3"/>
        <v>PALL027</v>
      </c>
      <c r="B44" s="177" t="str">
        <f t="shared" si="1"/>
        <v/>
      </c>
      <c r="C44" s="177" t="str">
        <f t="shared" si="2"/>
        <v/>
      </c>
      <c r="D44" s="157" t="str">
        <f t="shared" si="6"/>
        <v/>
      </c>
      <c r="E44" s="157"/>
      <c r="F44" s="158" t="str">
        <f t="shared" si="5"/>
        <v/>
      </c>
      <c r="G44" s="22"/>
      <c r="H44" s="22"/>
      <c r="I44" s="220"/>
      <c r="J44" s="45"/>
      <c r="K44" s="45"/>
      <c r="L44" s="45"/>
      <c r="M44" s="45"/>
    </row>
    <row r="45" spans="1:13" ht="15.75" thickBot="1" x14ac:dyDescent="0.3">
      <c r="A45" s="163" t="str">
        <f t="shared" si="3"/>
        <v>PALL028</v>
      </c>
      <c r="B45" s="178" t="str">
        <f t="shared" si="1"/>
        <v/>
      </c>
      <c r="C45" s="178" t="str">
        <f t="shared" si="2"/>
        <v/>
      </c>
      <c r="D45" s="159" t="str">
        <f>IF(I45=0,"",I45)</f>
        <v/>
      </c>
      <c r="E45" s="159"/>
      <c r="F45" s="160" t="str">
        <f t="shared" si="5"/>
        <v/>
      </c>
      <c r="G45" s="22"/>
      <c r="H45" s="22"/>
      <c r="I45" s="220"/>
      <c r="J45" s="44"/>
      <c r="K45" s="44"/>
      <c r="L45" s="44"/>
      <c r="M45" s="44"/>
    </row>
    <row r="46" spans="1:13" x14ac:dyDescent="0.25">
      <c r="G46" t="s">
        <v>171</v>
      </c>
    </row>
  </sheetData>
  <sheetProtection sheet="1" formatCells="0" formatColumns="0" formatRows="0" insertColumns="0" insertRows="0" insertHyperlinks="0" deleteColumns="0" deleteRows="0" sort="0" autoFilter="0" pivotTables="0"/>
  <autoFilter ref="A17:C17"/>
  <conditionalFormatting sqref="A18:C45 E18:F45">
    <cfRule type="expression" dxfId="1" priority="7">
      <formula>MOD(ROW(),2)=0</formula>
    </cfRule>
    <cfRule type="expression" priority="8">
      <formula>MOD(ROW(),2)=1</formula>
    </cfRule>
  </conditionalFormatting>
  <conditionalFormatting sqref="D18:D45">
    <cfRule type="expression" dxfId="0" priority="1">
      <formula>MOD(ROW(),2)=0</formula>
    </cfRule>
    <cfRule type="expression" priority="2">
      <formula>MOD(ROW(),2)=1</formula>
    </cfRule>
  </conditionalFormatting>
  <dataValidations count="1">
    <dataValidation allowBlank="1" showErrorMessage="1" errorTitle="wrong entry / flasche Eingabe" error="the number has to start with &quot;CE&quot;_x000a_Die Nummer muss mit &quot;CE&quot; beginnen" sqref="A18:A45"/>
  </dataValidations>
  <pageMargins left="0.70866141732283472" right="0.70866141732283472" top="0.78740157480314965" bottom="0.78740157480314965" header="0.31496062992125984" footer="0.31496062992125984"/>
  <pageSetup paperSize="9" orientation="landscape" r:id="rId1"/>
  <headerFooter scaleWithDoc="0">
    <oddHeader>&amp;LAuditor: Micha Schönenberger&amp;CTEST 1234&amp;RIoT Risk Assessment</oddHeader>
    <oddFooter>&amp;LKunde: Rolf Huber&amp;C18.07.2015&amp;RSeite &amp;P/&amp;N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tabColor theme="6" tint="-0.249977111117893"/>
  </sheetPr>
  <dimension ref="A1:BF230"/>
  <sheetViews>
    <sheetView view="pageBreakPreview" topLeftCell="A43" zoomScale="145" zoomScaleNormal="100" zoomScaleSheetLayoutView="145" workbookViewId="0">
      <selection activeCell="O19" sqref="O19"/>
    </sheetView>
  </sheetViews>
  <sheetFormatPr baseColWidth="10" defaultRowHeight="12.75" x14ac:dyDescent="0.2"/>
  <cols>
    <col min="1" max="1" width="3.28515625" style="66" customWidth="1"/>
    <col min="2" max="7" width="2.85546875" style="66" customWidth="1"/>
    <col min="8" max="8" width="5.7109375" style="66" customWidth="1"/>
    <col min="9" max="14" width="2.7109375" style="66" customWidth="1"/>
    <col min="15" max="15" width="5.7109375" style="66" customWidth="1"/>
    <col min="16" max="21" width="2.7109375" style="66" customWidth="1"/>
    <col min="22" max="22" width="5.7109375" style="66" customWidth="1"/>
    <col min="23" max="28" width="2.7109375" style="66" customWidth="1"/>
    <col min="29" max="29" width="5.7109375" style="66" customWidth="1"/>
    <col min="30" max="30" width="15.7109375" style="66" customWidth="1"/>
    <col min="31" max="31" width="11.42578125" style="66"/>
    <col min="32" max="37" width="2.85546875" style="66" customWidth="1"/>
    <col min="38" max="38" width="4.85546875" style="66" customWidth="1"/>
    <col min="39" max="44" width="3.42578125" style="66" customWidth="1"/>
    <col min="45" max="45" width="3.28515625" style="66" customWidth="1"/>
    <col min="46" max="51" width="3.140625" style="66" customWidth="1"/>
    <col min="52" max="52" width="4.42578125" style="66" customWidth="1"/>
    <col min="53" max="58" width="3.28515625" style="66" customWidth="1"/>
    <col min="59" max="256" width="11.42578125" style="66"/>
    <col min="257" max="257" width="3.7109375" style="66" customWidth="1"/>
    <col min="258" max="263" width="2.85546875" style="66" customWidth="1"/>
    <col min="264" max="264" width="5.7109375" style="66" customWidth="1"/>
    <col min="265" max="270" width="2.7109375" style="66" customWidth="1"/>
    <col min="271" max="271" width="5.7109375" style="66" customWidth="1"/>
    <col min="272" max="277" width="2.7109375" style="66" customWidth="1"/>
    <col min="278" max="278" width="5.7109375" style="66" customWidth="1"/>
    <col min="279" max="284" width="2.7109375" style="66" customWidth="1"/>
    <col min="285" max="285" width="5.7109375" style="66" customWidth="1"/>
    <col min="286" max="287" width="11.42578125" style="66"/>
    <col min="288" max="293" width="2.85546875" style="66" customWidth="1"/>
    <col min="294" max="294" width="4.85546875" style="66" customWidth="1"/>
    <col min="295" max="300" width="3.42578125" style="66" customWidth="1"/>
    <col min="301" max="301" width="3.28515625" style="66" customWidth="1"/>
    <col min="302" max="307" width="3.140625" style="66" customWidth="1"/>
    <col min="308" max="308" width="4.42578125" style="66" customWidth="1"/>
    <col min="309" max="314" width="3.28515625" style="66" customWidth="1"/>
    <col min="315" max="512" width="11.42578125" style="66"/>
    <col min="513" max="513" width="3.7109375" style="66" customWidth="1"/>
    <col min="514" max="519" width="2.85546875" style="66" customWidth="1"/>
    <col min="520" max="520" width="5.7109375" style="66" customWidth="1"/>
    <col min="521" max="526" width="2.7109375" style="66" customWidth="1"/>
    <col min="527" max="527" width="5.7109375" style="66" customWidth="1"/>
    <col min="528" max="533" width="2.7109375" style="66" customWidth="1"/>
    <col min="534" max="534" width="5.7109375" style="66" customWidth="1"/>
    <col min="535" max="540" width="2.7109375" style="66" customWidth="1"/>
    <col min="541" max="541" width="5.7109375" style="66" customWidth="1"/>
    <col min="542" max="543" width="11.42578125" style="66"/>
    <col min="544" max="549" width="2.85546875" style="66" customWidth="1"/>
    <col min="550" max="550" width="4.85546875" style="66" customWidth="1"/>
    <col min="551" max="556" width="3.42578125" style="66" customWidth="1"/>
    <col min="557" max="557" width="3.28515625" style="66" customWidth="1"/>
    <col min="558" max="563" width="3.140625" style="66" customWidth="1"/>
    <col min="564" max="564" width="4.42578125" style="66" customWidth="1"/>
    <col min="565" max="570" width="3.28515625" style="66" customWidth="1"/>
    <col min="571" max="768" width="11.42578125" style="66"/>
    <col min="769" max="769" width="3.7109375" style="66" customWidth="1"/>
    <col min="770" max="775" width="2.85546875" style="66" customWidth="1"/>
    <col min="776" max="776" width="5.7109375" style="66" customWidth="1"/>
    <col min="777" max="782" width="2.7109375" style="66" customWidth="1"/>
    <col min="783" max="783" width="5.7109375" style="66" customWidth="1"/>
    <col min="784" max="789" width="2.7109375" style="66" customWidth="1"/>
    <col min="790" max="790" width="5.7109375" style="66" customWidth="1"/>
    <col min="791" max="796" width="2.7109375" style="66" customWidth="1"/>
    <col min="797" max="797" width="5.7109375" style="66" customWidth="1"/>
    <col min="798" max="799" width="11.42578125" style="66"/>
    <col min="800" max="805" width="2.85546875" style="66" customWidth="1"/>
    <col min="806" max="806" width="4.85546875" style="66" customWidth="1"/>
    <col min="807" max="812" width="3.42578125" style="66" customWidth="1"/>
    <col min="813" max="813" width="3.28515625" style="66" customWidth="1"/>
    <col min="814" max="819" width="3.140625" style="66" customWidth="1"/>
    <col min="820" max="820" width="4.42578125" style="66" customWidth="1"/>
    <col min="821" max="826" width="3.28515625" style="66" customWidth="1"/>
    <col min="827" max="1024" width="11.42578125" style="66"/>
    <col min="1025" max="1025" width="3.7109375" style="66" customWidth="1"/>
    <col min="1026" max="1031" width="2.85546875" style="66" customWidth="1"/>
    <col min="1032" max="1032" width="5.7109375" style="66" customWidth="1"/>
    <col min="1033" max="1038" width="2.7109375" style="66" customWidth="1"/>
    <col min="1039" max="1039" width="5.7109375" style="66" customWidth="1"/>
    <col min="1040" max="1045" width="2.7109375" style="66" customWidth="1"/>
    <col min="1046" max="1046" width="5.7109375" style="66" customWidth="1"/>
    <col min="1047" max="1052" width="2.7109375" style="66" customWidth="1"/>
    <col min="1053" max="1053" width="5.7109375" style="66" customWidth="1"/>
    <col min="1054" max="1055" width="11.42578125" style="66"/>
    <col min="1056" max="1061" width="2.85546875" style="66" customWidth="1"/>
    <col min="1062" max="1062" width="4.85546875" style="66" customWidth="1"/>
    <col min="1063" max="1068" width="3.42578125" style="66" customWidth="1"/>
    <col min="1069" max="1069" width="3.28515625" style="66" customWidth="1"/>
    <col min="1070" max="1075" width="3.140625" style="66" customWidth="1"/>
    <col min="1076" max="1076" width="4.42578125" style="66" customWidth="1"/>
    <col min="1077" max="1082" width="3.28515625" style="66" customWidth="1"/>
    <col min="1083" max="1280" width="11.42578125" style="66"/>
    <col min="1281" max="1281" width="3.7109375" style="66" customWidth="1"/>
    <col min="1282" max="1287" width="2.85546875" style="66" customWidth="1"/>
    <col min="1288" max="1288" width="5.7109375" style="66" customWidth="1"/>
    <col min="1289" max="1294" width="2.7109375" style="66" customWidth="1"/>
    <col min="1295" max="1295" width="5.7109375" style="66" customWidth="1"/>
    <col min="1296" max="1301" width="2.7109375" style="66" customWidth="1"/>
    <col min="1302" max="1302" width="5.7109375" style="66" customWidth="1"/>
    <col min="1303" max="1308" width="2.7109375" style="66" customWidth="1"/>
    <col min="1309" max="1309" width="5.7109375" style="66" customWidth="1"/>
    <col min="1310" max="1311" width="11.42578125" style="66"/>
    <col min="1312" max="1317" width="2.85546875" style="66" customWidth="1"/>
    <col min="1318" max="1318" width="4.85546875" style="66" customWidth="1"/>
    <col min="1319" max="1324" width="3.42578125" style="66" customWidth="1"/>
    <col min="1325" max="1325" width="3.28515625" style="66" customWidth="1"/>
    <col min="1326" max="1331" width="3.140625" style="66" customWidth="1"/>
    <col min="1332" max="1332" width="4.42578125" style="66" customWidth="1"/>
    <col min="1333" max="1338" width="3.28515625" style="66" customWidth="1"/>
    <col min="1339" max="1536" width="11.42578125" style="66"/>
    <col min="1537" max="1537" width="3.7109375" style="66" customWidth="1"/>
    <col min="1538" max="1543" width="2.85546875" style="66" customWidth="1"/>
    <col min="1544" max="1544" width="5.7109375" style="66" customWidth="1"/>
    <col min="1545" max="1550" width="2.7109375" style="66" customWidth="1"/>
    <col min="1551" max="1551" width="5.7109375" style="66" customWidth="1"/>
    <col min="1552" max="1557" width="2.7109375" style="66" customWidth="1"/>
    <col min="1558" max="1558" width="5.7109375" style="66" customWidth="1"/>
    <col min="1559" max="1564" width="2.7109375" style="66" customWidth="1"/>
    <col min="1565" max="1565" width="5.7109375" style="66" customWidth="1"/>
    <col min="1566" max="1567" width="11.42578125" style="66"/>
    <col min="1568" max="1573" width="2.85546875" style="66" customWidth="1"/>
    <col min="1574" max="1574" width="4.85546875" style="66" customWidth="1"/>
    <col min="1575" max="1580" width="3.42578125" style="66" customWidth="1"/>
    <col min="1581" max="1581" width="3.28515625" style="66" customWidth="1"/>
    <col min="1582" max="1587" width="3.140625" style="66" customWidth="1"/>
    <col min="1588" max="1588" width="4.42578125" style="66" customWidth="1"/>
    <col min="1589" max="1594" width="3.28515625" style="66" customWidth="1"/>
    <col min="1595" max="1792" width="11.42578125" style="66"/>
    <col min="1793" max="1793" width="3.7109375" style="66" customWidth="1"/>
    <col min="1794" max="1799" width="2.85546875" style="66" customWidth="1"/>
    <col min="1800" max="1800" width="5.7109375" style="66" customWidth="1"/>
    <col min="1801" max="1806" width="2.7109375" style="66" customWidth="1"/>
    <col min="1807" max="1807" width="5.7109375" style="66" customWidth="1"/>
    <col min="1808" max="1813" width="2.7109375" style="66" customWidth="1"/>
    <col min="1814" max="1814" width="5.7109375" style="66" customWidth="1"/>
    <col min="1815" max="1820" width="2.7109375" style="66" customWidth="1"/>
    <col min="1821" max="1821" width="5.7109375" style="66" customWidth="1"/>
    <col min="1822" max="1823" width="11.42578125" style="66"/>
    <col min="1824" max="1829" width="2.85546875" style="66" customWidth="1"/>
    <col min="1830" max="1830" width="4.85546875" style="66" customWidth="1"/>
    <col min="1831" max="1836" width="3.42578125" style="66" customWidth="1"/>
    <col min="1837" max="1837" width="3.28515625" style="66" customWidth="1"/>
    <col min="1838" max="1843" width="3.140625" style="66" customWidth="1"/>
    <col min="1844" max="1844" width="4.42578125" style="66" customWidth="1"/>
    <col min="1845" max="1850" width="3.28515625" style="66" customWidth="1"/>
    <col min="1851" max="2048" width="11.42578125" style="66"/>
    <col min="2049" max="2049" width="3.7109375" style="66" customWidth="1"/>
    <col min="2050" max="2055" width="2.85546875" style="66" customWidth="1"/>
    <col min="2056" max="2056" width="5.7109375" style="66" customWidth="1"/>
    <col min="2057" max="2062" width="2.7109375" style="66" customWidth="1"/>
    <col min="2063" max="2063" width="5.7109375" style="66" customWidth="1"/>
    <col min="2064" max="2069" width="2.7109375" style="66" customWidth="1"/>
    <col min="2070" max="2070" width="5.7109375" style="66" customWidth="1"/>
    <col min="2071" max="2076" width="2.7109375" style="66" customWidth="1"/>
    <col min="2077" max="2077" width="5.7109375" style="66" customWidth="1"/>
    <col min="2078" max="2079" width="11.42578125" style="66"/>
    <col min="2080" max="2085" width="2.85546875" style="66" customWidth="1"/>
    <col min="2086" max="2086" width="4.85546875" style="66" customWidth="1"/>
    <col min="2087" max="2092" width="3.42578125" style="66" customWidth="1"/>
    <col min="2093" max="2093" width="3.28515625" style="66" customWidth="1"/>
    <col min="2094" max="2099" width="3.140625" style="66" customWidth="1"/>
    <col min="2100" max="2100" width="4.42578125" style="66" customWidth="1"/>
    <col min="2101" max="2106" width="3.28515625" style="66" customWidth="1"/>
    <col min="2107" max="2304" width="11.42578125" style="66"/>
    <col min="2305" max="2305" width="3.7109375" style="66" customWidth="1"/>
    <col min="2306" max="2311" width="2.85546875" style="66" customWidth="1"/>
    <col min="2312" max="2312" width="5.7109375" style="66" customWidth="1"/>
    <col min="2313" max="2318" width="2.7109375" style="66" customWidth="1"/>
    <col min="2319" max="2319" width="5.7109375" style="66" customWidth="1"/>
    <col min="2320" max="2325" width="2.7109375" style="66" customWidth="1"/>
    <col min="2326" max="2326" width="5.7109375" style="66" customWidth="1"/>
    <col min="2327" max="2332" width="2.7109375" style="66" customWidth="1"/>
    <col min="2333" max="2333" width="5.7109375" style="66" customWidth="1"/>
    <col min="2334" max="2335" width="11.42578125" style="66"/>
    <col min="2336" max="2341" width="2.85546875" style="66" customWidth="1"/>
    <col min="2342" max="2342" width="4.85546875" style="66" customWidth="1"/>
    <col min="2343" max="2348" width="3.42578125" style="66" customWidth="1"/>
    <col min="2349" max="2349" width="3.28515625" style="66" customWidth="1"/>
    <col min="2350" max="2355" width="3.140625" style="66" customWidth="1"/>
    <col min="2356" max="2356" width="4.42578125" style="66" customWidth="1"/>
    <col min="2357" max="2362" width="3.28515625" style="66" customWidth="1"/>
    <col min="2363" max="2560" width="11.42578125" style="66"/>
    <col min="2561" max="2561" width="3.7109375" style="66" customWidth="1"/>
    <col min="2562" max="2567" width="2.85546875" style="66" customWidth="1"/>
    <col min="2568" max="2568" width="5.7109375" style="66" customWidth="1"/>
    <col min="2569" max="2574" width="2.7109375" style="66" customWidth="1"/>
    <col min="2575" max="2575" width="5.7109375" style="66" customWidth="1"/>
    <col min="2576" max="2581" width="2.7109375" style="66" customWidth="1"/>
    <col min="2582" max="2582" width="5.7109375" style="66" customWidth="1"/>
    <col min="2583" max="2588" width="2.7109375" style="66" customWidth="1"/>
    <col min="2589" max="2589" width="5.7109375" style="66" customWidth="1"/>
    <col min="2590" max="2591" width="11.42578125" style="66"/>
    <col min="2592" max="2597" width="2.85546875" style="66" customWidth="1"/>
    <col min="2598" max="2598" width="4.85546875" style="66" customWidth="1"/>
    <col min="2599" max="2604" width="3.42578125" style="66" customWidth="1"/>
    <col min="2605" max="2605" width="3.28515625" style="66" customWidth="1"/>
    <col min="2606" max="2611" width="3.140625" style="66" customWidth="1"/>
    <col min="2612" max="2612" width="4.42578125" style="66" customWidth="1"/>
    <col min="2613" max="2618" width="3.28515625" style="66" customWidth="1"/>
    <col min="2619" max="2816" width="11.42578125" style="66"/>
    <col min="2817" max="2817" width="3.7109375" style="66" customWidth="1"/>
    <col min="2818" max="2823" width="2.85546875" style="66" customWidth="1"/>
    <col min="2824" max="2824" width="5.7109375" style="66" customWidth="1"/>
    <col min="2825" max="2830" width="2.7109375" style="66" customWidth="1"/>
    <col min="2831" max="2831" width="5.7109375" style="66" customWidth="1"/>
    <col min="2832" max="2837" width="2.7109375" style="66" customWidth="1"/>
    <col min="2838" max="2838" width="5.7109375" style="66" customWidth="1"/>
    <col min="2839" max="2844" width="2.7109375" style="66" customWidth="1"/>
    <col min="2845" max="2845" width="5.7109375" style="66" customWidth="1"/>
    <col min="2846" max="2847" width="11.42578125" style="66"/>
    <col min="2848" max="2853" width="2.85546875" style="66" customWidth="1"/>
    <col min="2854" max="2854" width="4.85546875" style="66" customWidth="1"/>
    <col min="2855" max="2860" width="3.42578125" style="66" customWidth="1"/>
    <col min="2861" max="2861" width="3.28515625" style="66" customWidth="1"/>
    <col min="2862" max="2867" width="3.140625" style="66" customWidth="1"/>
    <col min="2868" max="2868" width="4.42578125" style="66" customWidth="1"/>
    <col min="2869" max="2874" width="3.28515625" style="66" customWidth="1"/>
    <col min="2875" max="3072" width="11.42578125" style="66"/>
    <col min="3073" max="3073" width="3.7109375" style="66" customWidth="1"/>
    <col min="3074" max="3079" width="2.85546875" style="66" customWidth="1"/>
    <col min="3080" max="3080" width="5.7109375" style="66" customWidth="1"/>
    <col min="3081" max="3086" width="2.7109375" style="66" customWidth="1"/>
    <col min="3087" max="3087" width="5.7109375" style="66" customWidth="1"/>
    <col min="3088" max="3093" width="2.7109375" style="66" customWidth="1"/>
    <col min="3094" max="3094" width="5.7109375" style="66" customWidth="1"/>
    <col min="3095" max="3100" width="2.7109375" style="66" customWidth="1"/>
    <col min="3101" max="3101" width="5.7109375" style="66" customWidth="1"/>
    <col min="3102" max="3103" width="11.42578125" style="66"/>
    <col min="3104" max="3109" width="2.85546875" style="66" customWidth="1"/>
    <col min="3110" max="3110" width="4.85546875" style="66" customWidth="1"/>
    <col min="3111" max="3116" width="3.42578125" style="66" customWidth="1"/>
    <col min="3117" max="3117" width="3.28515625" style="66" customWidth="1"/>
    <col min="3118" max="3123" width="3.140625" style="66" customWidth="1"/>
    <col min="3124" max="3124" width="4.42578125" style="66" customWidth="1"/>
    <col min="3125" max="3130" width="3.28515625" style="66" customWidth="1"/>
    <col min="3131" max="3328" width="11.42578125" style="66"/>
    <col min="3329" max="3329" width="3.7109375" style="66" customWidth="1"/>
    <col min="3330" max="3335" width="2.85546875" style="66" customWidth="1"/>
    <col min="3336" max="3336" width="5.7109375" style="66" customWidth="1"/>
    <col min="3337" max="3342" width="2.7109375" style="66" customWidth="1"/>
    <col min="3343" max="3343" width="5.7109375" style="66" customWidth="1"/>
    <col min="3344" max="3349" width="2.7109375" style="66" customWidth="1"/>
    <col min="3350" max="3350" width="5.7109375" style="66" customWidth="1"/>
    <col min="3351" max="3356" width="2.7109375" style="66" customWidth="1"/>
    <col min="3357" max="3357" width="5.7109375" style="66" customWidth="1"/>
    <col min="3358" max="3359" width="11.42578125" style="66"/>
    <col min="3360" max="3365" width="2.85546875" style="66" customWidth="1"/>
    <col min="3366" max="3366" width="4.85546875" style="66" customWidth="1"/>
    <col min="3367" max="3372" width="3.42578125" style="66" customWidth="1"/>
    <col min="3373" max="3373" width="3.28515625" style="66" customWidth="1"/>
    <col min="3374" max="3379" width="3.140625" style="66" customWidth="1"/>
    <col min="3380" max="3380" width="4.42578125" style="66" customWidth="1"/>
    <col min="3381" max="3386" width="3.28515625" style="66" customWidth="1"/>
    <col min="3387" max="3584" width="11.42578125" style="66"/>
    <col min="3585" max="3585" width="3.7109375" style="66" customWidth="1"/>
    <col min="3586" max="3591" width="2.85546875" style="66" customWidth="1"/>
    <col min="3592" max="3592" width="5.7109375" style="66" customWidth="1"/>
    <col min="3593" max="3598" width="2.7109375" style="66" customWidth="1"/>
    <col min="3599" max="3599" width="5.7109375" style="66" customWidth="1"/>
    <col min="3600" max="3605" width="2.7109375" style="66" customWidth="1"/>
    <col min="3606" max="3606" width="5.7109375" style="66" customWidth="1"/>
    <col min="3607" max="3612" width="2.7109375" style="66" customWidth="1"/>
    <col min="3613" max="3613" width="5.7109375" style="66" customWidth="1"/>
    <col min="3614" max="3615" width="11.42578125" style="66"/>
    <col min="3616" max="3621" width="2.85546875" style="66" customWidth="1"/>
    <col min="3622" max="3622" width="4.85546875" style="66" customWidth="1"/>
    <col min="3623" max="3628" width="3.42578125" style="66" customWidth="1"/>
    <col min="3629" max="3629" width="3.28515625" style="66" customWidth="1"/>
    <col min="3630" max="3635" width="3.140625" style="66" customWidth="1"/>
    <col min="3636" max="3636" width="4.42578125" style="66" customWidth="1"/>
    <col min="3637" max="3642" width="3.28515625" style="66" customWidth="1"/>
    <col min="3643" max="3840" width="11.42578125" style="66"/>
    <col min="3841" max="3841" width="3.7109375" style="66" customWidth="1"/>
    <col min="3842" max="3847" width="2.85546875" style="66" customWidth="1"/>
    <col min="3848" max="3848" width="5.7109375" style="66" customWidth="1"/>
    <col min="3849" max="3854" width="2.7109375" style="66" customWidth="1"/>
    <col min="3855" max="3855" width="5.7109375" style="66" customWidth="1"/>
    <col min="3856" max="3861" width="2.7109375" style="66" customWidth="1"/>
    <col min="3862" max="3862" width="5.7109375" style="66" customWidth="1"/>
    <col min="3863" max="3868" width="2.7109375" style="66" customWidth="1"/>
    <col min="3869" max="3869" width="5.7109375" style="66" customWidth="1"/>
    <col min="3870" max="3871" width="11.42578125" style="66"/>
    <col min="3872" max="3877" width="2.85546875" style="66" customWidth="1"/>
    <col min="3878" max="3878" width="4.85546875" style="66" customWidth="1"/>
    <col min="3879" max="3884" width="3.42578125" style="66" customWidth="1"/>
    <col min="3885" max="3885" width="3.28515625" style="66" customWidth="1"/>
    <col min="3886" max="3891" width="3.140625" style="66" customWidth="1"/>
    <col min="3892" max="3892" width="4.42578125" style="66" customWidth="1"/>
    <col min="3893" max="3898" width="3.28515625" style="66" customWidth="1"/>
    <col min="3899" max="4096" width="11.42578125" style="66"/>
    <col min="4097" max="4097" width="3.7109375" style="66" customWidth="1"/>
    <col min="4098" max="4103" width="2.85546875" style="66" customWidth="1"/>
    <col min="4104" max="4104" width="5.7109375" style="66" customWidth="1"/>
    <col min="4105" max="4110" width="2.7109375" style="66" customWidth="1"/>
    <col min="4111" max="4111" width="5.7109375" style="66" customWidth="1"/>
    <col min="4112" max="4117" width="2.7109375" style="66" customWidth="1"/>
    <col min="4118" max="4118" width="5.7109375" style="66" customWidth="1"/>
    <col min="4119" max="4124" width="2.7109375" style="66" customWidth="1"/>
    <col min="4125" max="4125" width="5.7109375" style="66" customWidth="1"/>
    <col min="4126" max="4127" width="11.42578125" style="66"/>
    <col min="4128" max="4133" width="2.85546875" style="66" customWidth="1"/>
    <col min="4134" max="4134" width="4.85546875" style="66" customWidth="1"/>
    <col min="4135" max="4140" width="3.42578125" style="66" customWidth="1"/>
    <col min="4141" max="4141" width="3.28515625" style="66" customWidth="1"/>
    <col min="4142" max="4147" width="3.140625" style="66" customWidth="1"/>
    <col min="4148" max="4148" width="4.42578125" style="66" customWidth="1"/>
    <col min="4149" max="4154" width="3.28515625" style="66" customWidth="1"/>
    <col min="4155" max="4352" width="11.42578125" style="66"/>
    <col min="4353" max="4353" width="3.7109375" style="66" customWidth="1"/>
    <col min="4354" max="4359" width="2.85546875" style="66" customWidth="1"/>
    <col min="4360" max="4360" width="5.7109375" style="66" customWidth="1"/>
    <col min="4361" max="4366" width="2.7109375" style="66" customWidth="1"/>
    <col min="4367" max="4367" width="5.7109375" style="66" customWidth="1"/>
    <col min="4368" max="4373" width="2.7109375" style="66" customWidth="1"/>
    <col min="4374" max="4374" width="5.7109375" style="66" customWidth="1"/>
    <col min="4375" max="4380" width="2.7109375" style="66" customWidth="1"/>
    <col min="4381" max="4381" width="5.7109375" style="66" customWidth="1"/>
    <col min="4382" max="4383" width="11.42578125" style="66"/>
    <col min="4384" max="4389" width="2.85546875" style="66" customWidth="1"/>
    <col min="4390" max="4390" width="4.85546875" style="66" customWidth="1"/>
    <col min="4391" max="4396" width="3.42578125" style="66" customWidth="1"/>
    <col min="4397" max="4397" width="3.28515625" style="66" customWidth="1"/>
    <col min="4398" max="4403" width="3.140625" style="66" customWidth="1"/>
    <col min="4404" max="4404" width="4.42578125" style="66" customWidth="1"/>
    <col min="4405" max="4410" width="3.28515625" style="66" customWidth="1"/>
    <col min="4411" max="4608" width="11.42578125" style="66"/>
    <col min="4609" max="4609" width="3.7109375" style="66" customWidth="1"/>
    <col min="4610" max="4615" width="2.85546875" style="66" customWidth="1"/>
    <col min="4616" max="4616" width="5.7109375" style="66" customWidth="1"/>
    <col min="4617" max="4622" width="2.7109375" style="66" customWidth="1"/>
    <col min="4623" max="4623" width="5.7109375" style="66" customWidth="1"/>
    <col min="4624" max="4629" width="2.7109375" style="66" customWidth="1"/>
    <col min="4630" max="4630" width="5.7109375" style="66" customWidth="1"/>
    <col min="4631" max="4636" width="2.7109375" style="66" customWidth="1"/>
    <col min="4637" max="4637" width="5.7109375" style="66" customWidth="1"/>
    <col min="4638" max="4639" width="11.42578125" style="66"/>
    <col min="4640" max="4645" width="2.85546875" style="66" customWidth="1"/>
    <col min="4646" max="4646" width="4.85546875" style="66" customWidth="1"/>
    <col min="4647" max="4652" width="3.42578125" style="66" customWidth="1"/>
    <col min="4653" max="4653" width="3.28515625" style="66" customWidth="1"/>
    <col min="4654" max="4659" width="3.140625" style="66" customWidth="1"/>
    <col min="4660" max="4660" width="4.42578125" style="66" customWidth="1"/>
    <col min="4661" max="4666" width="3.28515625" style="66" customWidth="1"/>
    <col min="4667" max="4864" width="11.42578125" style="66"/>
    <col min="4865" max="4865" width="3.7109375" style="66" customWidth="1"/>
    <col min="4866" max="4871" width="2.85546875" style="66" customWidth="1"/>
    <col min="4872" max="4872" width="5.7109375" style="66" customWidth="1"/>
    <col min="4873" max="4878" width="2.7109375" style="66" customWidth="1"/>
    <col min="4879" max="4879" width="5.7109375" style="66" customWidth="1"/>
    <col min="4880" max="4885" width="2.7109375" style="66" customWidth="1"/>
    <col min="4886" max="4886" width="5.7109375" style="66" customWidth="1"/>
    <col min="4887" max="4892" width="2.7109375" style="66" customWidth="1"/>
    <col min="4893" max="4893" width="5.7109375" style="66" customWidth="1"/>
    <col min="4894" max="4895" width="11.42578125" style="66"/>
    <col min="4896" max="4901" width="2.85546875" style="66" customWidth="1"/>
    <col min="4902" max="4902" width="4.85546875" style="66" customWidth="1"/>
    <col min="4903" max="4908" width="3.42578125" style="66" customWidth="1"/>
    <col min="4909" max="4909" width="3.28515625" style="66" customWidth="1"/>
    <col min="4910" max="4915" width="3.140625" style="66" customWidth="1"/>
    <col min="4916" max="4916" width="4.42578125" style="66" customWidth="1"/>
    <col min="4917" max="4922" width="3.28515625" style="66" customWidth="1"/>
    <col min="4923" max="5120" width="11.42578125" style="66"/>
    <col min="5121" max="5121" width="3.7109375" style="66" customWidth="1"/>
    <col min="5122" max="5127" width="2.85546875" style="66" customWidth="1"/>
    <col min="5128" max="5128" width="5.7109375" style="66" customWidth="1"/>
    <col min="5129" max="5134" width="2.7109375" style="66" customWidth="1"/>
    <col min="5135" max="5135" width="5.7109375" style="66" customWidth="1"/>
    <col min="5136" max="5141" width="2.7109375" style="66" customWidth="1"/>
    <col min="5142" max="5142" width="5.7109375" style="66" customWidth="1"/>
    <col min="5143" max="5148" width="2.7109375" style="66" customWidth="1"/>
    <col min="5149" max="5149" width="5.7109375" style="66" customWidth="1"/>
    <col min="5150" max="5151" width="11.42578125" style="66"/>
    <col min="5152" max="5157" width="2.85546875" style="66" customWidth="1"/>
    <col min="5158" max="5158" width="4.85546875" style="66" customWidth="1"/>
    <col min="5159" max="5164" width="3.42578125" style="66" customWidth="1"/>
    <col min="5165" max="5165" width="3.28515625" style="66" customWidth="1"/>
    <col min="5166" max="5171" width="3.140625" style="66" customWidth="1"/>
    <col min="5172" max="5172" width="4.42578125" style="66" customWidth="1"/>
    <col min="5173" max="5178" width="3.28515625" style="66" customWidth="1"/>
    <col min="5179" max="5376" width="11.42578125" style="66"/>
    <col min="5377" max="5377" width="3.7109375" style="66" customWidth="1"/>
    <col min="5378" max="5383" width="2.85546875" style="66" customWidth="1"/>
    <col min="5384" max="5384" width="5.7109375" style="66" customWidth="1"/>
    <col min="5385" max="5390" width="2.7109375" style="66" customWidth="1"/>
    <col min="5391" max="5391" width="5.7109375" style="66" customWidth="1"/>
    <col min="5392" max="5397" width="2.7109375" style="66" customWidth="1"/>
    <col min="5398" max="5398" width="5.7109375" style="66" customWidth="1"/>
    <col min="5399" max="5404" width="2.7109375" style="66" customWidth="1"/>
    <col min="5405" max="5405" width="5.7109375" style="66" customWidth="1"/>
    <col min="5406" max="5407" width="11.42578125" style="66"/>
    <col min="5408" max="5413" width="2.85546875" style="66" customWidth="1"/>
    <col min="5414" max="5414" width="4.85546875" style="66" customWidth="1"/>
    <col min="5415" max="5420" width="3.42578125" style="66" customWidth="1"/>
    <col min="5421" max="5421" width="3.28515625" style="66" customWidth="1"/>
    <col min="5422" max="5427" width="3.140625" style="66" customWidth="1"/>
    <col min="5428" max="5428" width="4.42578125" style="66" customWidth="1"/>
    <col min="5429" max="5434" width="3.28515625" style="66" customWidth="1"/>
    <col min="5435" max="5632" width="11.42578125" style="66"/>
    <col min="5633" max="5633" width="3.7109375" style="66" customWidth="1"/>
    <col min="5634" max="5639" width="2.85546875" style="66" customWidth="1"/>
    <col min="5640" max="5640" width="5.7109375" style="66" customWidth="1"/>
    <col min="5641" max="5646" width="2.7109375" style="66" customWidth="1"/>
    <col min="5647" max="5647" width="5.7109375" style="66" customWidth="1"/>
    <col min="5648" max="5653" width="2.7109375" style="66" customWidth="1"/>
    <col min="5654" max="5654" width="5.7109375" style="66" customWidth="1"/>
    <col min="5655" max="5660" width="2.7109375" style="66" customWidth="1"/>
    <col min="5661" max="5661" width="5.7109375" style="66" customWidth="1"/>
    <col min="5662" max="5663" width="11.42578125" style="66"/>
    <col min="5664" max="5669" width="2.85546875" style="66" customWidth="1"/>
    <col min="5670" max="5670" width="4.85546875" style="66" customWidth="1"/>
    <col min="5671" max="5676" width="3.42578125" style="66" customWidth="1"/>
    <col min="5677" max="5677" width="3.28515625" style="66" customWidth="1"/>
    <col min="5678" max="5683" width="3.140625" style="66" customWidth="1"/>
    <col min="5684" max="5684" width="4.42578125" style="66" customWidth="1"/>
    <col min="5685" max="5690" width="3.28515625" style="66" customWidth="1"/>
    <col min="5691" max="5888" width="11.42578125" style="66"/>
    <col min="5889" max="5889" width="3.7109375" style="66" customWidth="1"/>
    <col min="5890" max="5895" width="2.85546875" style="66" customWidth="1"/>
    <col min="5896" max="5896" width="5.7109375" style="66" customWidth="1"/>
    <col min="5897" max="5902" width="2.7109375" style="66" customWidth="1"/>
    <col min="5903" max="5903" width="5.7109375" style="66" customWidth="1"/>
    <col min="5904" max="5909" width="2.7109375" style="66" customWidth="1"/>
    <col min="5910" max="5910" width="5.7109375" style="66" customWidth="1"/>
    <col min="5911" max="5916" width="2.7109375" style="66" customWidth="1"/>
    <col min="5917" max="5917" width="5.7109375" style="66" customWidth="1"/>
    <col min="5918" max="5919" width="11.42578125" style="66"/>
    <col min="5920" max="5925" width="2.85546875" style="66" customWidth="1"/>
    <col min="5926" max="5926" width="4.85546875" style="66" customWidth="1"/>
    <col min="5927" max="5932" width="3.42578125" style="66" customWidth="1"/>
    <col min="5933" max="5933" width="3.28515625" style="66" customWidth="1"/>
    <col min="5934" max="5939" width="3.140625" style="66" customWidth="1"/>
    <col min="5940" max="5940" width="4.42578125" style="66" customWidth="1"/>
    <col min="5941" max="5946" width="3.28515625" style="66" customWidth="1"/>
    <col min="5947" max="6144" width="11.42578125" style="66"/>
    <col min="6145" max="6145" width="3.7109375" style="66" customWidth="1"/>
    <col min="6146" max="6151" width="2.85546875" style="66" customWidth="1"/>
    <col min="6152" max="6152" width="5.7109375" style="66" customWidth="1"/>
    <col min="6153" max="6158" width="2.7109375" style="66" customWidth="1"/>
    <col min="6159" max="6159" width="5.7109375" style="66" customWidth="1"/>
    <col min="6160" max="6165" width="2.7109375" style="66" customWidth="1"/>
    <col min="6166" max="6166" width="5.7109375" style="66" customWidth="1"/>
    <col min="6167" max="6172" width="2.7109375" style="66" customWidth="1"/>
    <col min="6173" max="6173" width="5.7109375" style="66" customWidth="1"/>
    <col min="6174" max="6175" width="11.42578125" style="66"/>
    <col min="6176" max="6181" width="2.85546875" style="66" customWidth="1"/>
    <col min="6182" max="6182" width="4.85546875" style="66" customWidth="1"/>
    <col min="6183" max="6188" width="3.42578125" style="66" customWidth="1"/>
    <col min="6189" max="6189" width="3.28515625" style="66" customWidth="1"/>
    <col min="6190" max="6195" width="3.140625" style="66" customWidth="1"/>
    <col min="6196" max="6196" width="4.42578125" style="66" customWidth="1"/>
    <col min="6197" max="6202" width="3.28515625" style="66" customWidth="1"/>
    <col min="6203" max="6400" width="11.42578125" style="66"/>
    <col min="6401" max="6401" width="3.7109375" style="66" customWidth="1"/>
    <col min="6402" max="6407" width="2.85546875" style="66" customWidth="1"/>
    <col min="6408" max="6408" width="5.7109375" style="66" customWidth="1"/>
    <col min="6409" max="6414" width="2.7109375" style="66" customWidth="1"/>
    <col min="6415" max="6415" width="5.7109375" style="66" customWidth="1"/>
    <col min="6416" max="6421" width="2.7109375" style="66" customWidth="1"/>
    <col min="6422" max="6422" width="5.7109375" style="66" customWidth="1"/>
    <col min="6423" max="6428" width="2.7109375" style="66" customWidth="1"/>
    <col min="6429" max="6429" width="5.7109375" style="66" customWidth="1"/>
    <col min="6430" max="6431" width="11.42578125" style="66"/>
    <col min="6432" max="6437" width="2.85546875" style="66" customWidth="1"/>
    <col min="6438" max="6438" width="4.85546875" style="66" customWidth="1"/>
    <col min="6439" max="6444" width="3.42578125" style="66" customWidth="1"/>
    <col min="6445" max="6445" width="3.28515625" style="66" customWidth="1"/>
    <col min="6446" max="6451" width="3.140625" style="66" customWidth="1"/>
    <col min="6452" max="6452" width="4.42578125" style="66" customWidth="1"/>
    <col min="6453" max="6458" width="3.28515625" style="66" customWidth="1"/>
    <col min="6459" max="6656" width="11.42578125" style="66"/>
    <col min="6657" max="6657" width="3.7109375" style="66" customWidth="1"/>
    <col min="6658" max="6663" width="2.85546875" style="66" customWidth="1"/>
    <col min="6664" max="6664" width="5.7109375" style="66" customWidth="1"/>
    <col min="6665" max="6670" width="2.7109375" style="66" customWidth="1"/>
    <col min="6671" max="6671" width="5.7109375" style="66" customWidth="1"/>
    <col min="6672" max="6677" width="2.7109375" style="66" customWidth="1"/>
    <col min="6678" max="6678" width="5.7109375" style="66" customWidth="1"/>
    <col min="6679" max="6684" width="2.7109375" style="66" customWidth="1"/>
    <col min="6685" max="6685" width="5.7109375" style="66" customWidth="1"/>
    <col min="6686" max="6687" width="11.42578125" style="66"/>
    <col min="6688" max="6693" width="2.85546875" style="66" customWidth="1"/>
    <col min="6694" max="6694" width="4.85546875" style="66" customWidth="1"/>
    <col min="6695" max="6700" width="3.42578125" style="66" customWidth="1"/>
    <col min="6701" max="6701" width="3.28515625" style="66" customWidth="1"/>
    <col min="6702" max="6707" width="3.140625" style="66" customWidth="1"/>
    <col min="6708" max="6708" width="4.42578125" style="66" customWidth="1"/>
    <col min="6709" max="6714" width="3.28515625" style="66" customWidth="1"/>
    <col min="6715" max="6912" width="11.42578125" style="66"/>
    <col min="6913" max="6913" width="3.7109375" style="66" customWidth="1"/>
    <col min="6914" max="6919" width="2.85546875" style="66" customWidth="1"/>
    <col min="6920" max="6920" width="5.7109375" style="66" customWidth="1"/>
    <col min="6921" max="6926" width="2.7109375" style="66" customWidth="1"/>
    <col min="6927" max="6927" width="5.7109375" style="66" customWidth="1"/>
    <col min="6928" max="6933" width="2.7109375" style="66" customWidth="1"/>
    <col min="6934" max="6934" width="5.7109375" style="66" customWidth="1"/>
    <col min="6935" max="6940" width="2.7109375" style="66" customWidth="1"/>
    <col min="6941" max="6941" width="5.7109375" style="66" customWidth="1"/>
    <col min="6942" max="6943" width="11.42578125" style="66"/>
    <col min="6944" max="6949" width="2.85546875" style="66" customWidth="1"/>
    <col min="6950" max="6950" width="4.85546875" style="66" customWidth="1"/>
    <col min="6951" max="6956" width="3.42578125" style="66" customWidth="1"/>
    <col min="6957" max="6957" width="3.28515625" style="66" customWidth="1"/>
    <col min="6958" max="6963" width="3.140625" style="66" customWidth="1"/>
    <col min="6964" max="6964" width="4.42578125" style="66" customWidth="1"/>
    <col min="6965" max="6970" width="3.28515625" style="66" customWidth="1"/>
    <col min="6971" max="7168" width="11.42578125" style="66"/>
    <col min="7169" max="7169" width="3.7109375" style="66" customWidth="1"/>
    <col min="7170" max="7175" width="2.85546875" style="66" customWidth="1"/>
    <col min="7176" max="7176" width="5.7109375" style="66" customWidth="1"/>
    <col min="7177" max="7182" width="2.7109375" style="66" customWidth="1"/>
    <col min="7183" max="7183" width="5.7109375" style="66" customWidth="1"/>
    <col min="7184" max="7189" width="2.7109375" style="66" customWidth="1"/>
    <col min="7190" max="7190" width="5.7109375" style="66" customWidth="1"/>
    <col min="7191" max="7196" width="2.7109375" style="66" customWidth="1"/>
    <col min="7197" max="7197" width="5.7109375" style="66" customWidth="1"/>
    <col min="7198" max="7199" width="11.42578125" style="66"/>
    <col min="7200" max="7205" width="2.85546875" style="66" customWidth="1"/>
    <col min="7206" max="7206" width="4.85546875" style="66" customWidth="1"/>
    <col min="7207" max="7212" width="3.42578125" style="66" customWidth="1"/>
    <col min="7213" max="7213" width="3.28515625" style="66" customWidth="1"/>
    <col min="7214" max="7219" width="3.140625" style="66" customWidth="1"/>
    <col min="7220" max="7220" width="4.42578125" style="66" customWidth="1"/>
    <col min="7221" max="7226" width="3.28515625" style="66" customWidth="1"/>
    <col min="7227" max="7424" width="11.42578125" style="66"/>
    <col min="7425" max="7425" width="3.7109375" style="66" customWidth="1"/>
    <col min="7426" max="7431" width="2.85546875" style="66" customWidth="1"/>
    <col min="7432" max="7432" width="5.7109375" style="66" customWidth="1"/>
    <col min="7433" max="7438" width="2.7109375" style="66" customWidth="1"/>
    <col min="7439" max="7439" width="5.7109375" style="66" customWidth="1"/>
    <col min="7440" max="7445" width="2.7109375" style="66" customWidth="1"/>
    <col min="7446" max="7446" width="5.7109375" style="66" customWidth="1"/>
    <col min="7447" max="7452" width="2.7109375" style="66" customWidth="1"/>
    <col min="7453" max="7453" width="5.7109375" style="66" customWidth="1"/>
    <col min="7454" max="7455" width="11.42578125" style="66"/>
    <col min="7456" max="7461" width="2.85546875" style="66" customWidth="1"/>
    <col min="7462" max="7462" width="4.85546875" style="66" customWidth="1"/>
    <col min="7463" max="7468" width="3.42578125" style="66" customWidth="1"/>
    <col min="7469" max="7469" width="3.28515625" style="66" customWidth="1"/>
    <col min="7470" max="7475" width="3.140625" style="66" customWidth="1"/>
    <col min="7476" max="7476" width="4.42578125" style="66" customWidth="1"/>
    <col min="7477" max="7482" width="3.28515625" style="66" customWidth="1"/>
    <col min="7483" max="7680" width="11.42578125" style="66"/>
    <col min="7681" max="7681" width="3.7109375" style="66" customWidth="1"/>
    <col min="7682" max="7687" width="2.85546875" style="66" customWidth="1"/>
    <col min="7688" max="7688" width="5.7109375" style="66" customWidth="1"/>
    <col min="7689" max="7694" width="2.7109375" style="66" customWidth="1"/>
    <col min="7695" max="7695" width="5.7109375" style="66" customWidth="1"/>
    <col min="7696" max="7701" width="2.7109375" style="66" customWidth="1"/>
    <col min="7702" max="7702" width="5.7109375" style="66" customWidth="1"/>
    <col min="7703" max="7708" width="2.7109375" style="66" customWidth="1"/>
    <col min="7709" max="7709" width="5.7109375" style="66" customWidth="1"/>
    <col min="7710" max="7711" width="11.42578125" style="66"/>
    <col min="7712" max="7717" width="2.85546875" style="66" customWidth="1"/>
    <col min="7718" max="7718" width="4.85546875" style="66" customWidth="1"/>
    <col min="7719" max="7724" width="3.42578125" style="66" customWidth="1"/>
    <col min="7725" max="7725" width="3.28515625" style="66" customWidth="1"/>
    <col min="7726" max="7731" width="3.140625" style="66" customWidth="1"/>
    <col min="7732" max="7732" width="4.42578125" style="66" customWidth="1"/>
    <col min="7733" max="7738" width="3.28515625" style="66" customWidth="1"/>
    <col min="7739" max="7936" width="11.42578125" style="66"/>
    <col min="7937" max="7937" width="3.7109375" style="66" customWidth="1"/>
    <col min="7938" max="7943" width="2.85546875" style="66" customWidth="1"/>
    <col min="7944" max="7944" width="5.7109375" style="66" customWidth="1"/>
    <col min="7945" max="7950" width="2.7109375" style="66" customWidth="1"/>
    <col min="7951" max="7951" width="5.7109375" style="66" customWidth="1"/>
    <col min="7952" max="7957" width="2.7109375" style="66" customWidth="1"/>
    <col min="7958" max="7958" width="5.7109375" style="66" customWidth="1"/>
    <col min="7959" max="7964" width="2.7109375" style="66" customWidth="1"/>
    <col min="7965" max="7965" width="5.7109375" style="66" customWidth="1"/>
    <col min="7966" max="7967" width="11.42578125" style="66"/>
    <col min="7968" max="7973" width="2.85546875" style="66" customWidth="1"/>
    <col min="7974" max="7974" width="4.85546875" style="66" customWidth="1"/>
    <col min="7975" max="7980" width="3.42578125" style="66" customWidth="1"/>
    <col min="7981" max="7981" width="3.28515625" style="66" customWidth="1"/>
    <col min="7982" max="7987" width="3.140625" style="66" customWidth="1"/>
    <col min="7988" max="7988" width="4.42578125" style="66" customWidth="1"/>
    <col min="7989" max="7994" width="3.28515625" style="66" customWidth="1"/>
    <col min="7995" max="8192" width="11.42578125" style="66"/>
    <col min="8193" max="8193" width="3.7109375" style="66" customWidth="1"/>
    <col min="8194" max="8199" width="2.85546875" style="66" customWidth="1"/>
    <col min="8200" max="8200" width="5.7109375" style="66" customWidth="1"/>
    <col min="8201" max="8206" width="2.7109375" style="66" customWidth="1"/>
    <col min="8207" max="8207" width="5.7109375" style="66" customWidth="1"/>
    <col min="8208" max="8213" width="2.7109375" style="66" customWidth="1"/>
    <col min="8214" max="8214" width="5.7109375" style="66" customWidth="1"/>
    <col min="8215" max="8220" width="2.7109375" style="66" customWidth="1"/>
    <col min="8221" max="8221" width="5.7109375" style="66" customWidth="1"/>
    <col min="8222" max="8223" width="11.42578125" style="66"/>
    <col min="8224" max="8229" width="2.85546875" style="66" customWidth="1"/>
    <col min="8230" max="8230" width="4.85546875" style="66" customWidth="1"/>
    <col min="8231" max="8236" width="3.42578125" style="66" customWidth="1"/>
    <col min="8237" max="8237" width="3.28515625" style="66" customWidth="1"/>
    <col min="8238" max="8243" width="3.140625" style="66" customWidth="1"/>
    <col min="8244" max="8244" width="4.42578125" style="66" customWidth="1"/>
    <col min="8245" max="8250" width="3.28515625" style="66" customWidth="1"/>
    <col min="8251" max="8448" width="11.42578125" style="66"/>
    <col min="8449" max="8449" width="3.7109375" style="66" customWidth="1"/>
    <col min="8450" max="8455" width="2.85546875" style="66" customWidth="1"/>
    <col min="8456" max="8456" width="5.7109375" style="66" customWidth="1"/>
    <col min="8457" max="8462" width="2.7109375" style="66" customWidth="1"/>
    <col min="8463" max="8463" width="5.7109375" style="66" customWidth="1"/>
    <col min="8464" max="8469" width="2.7109375" style="66" customWidth="1"/>
    <col min="8470" max="8470" width="5.7109375" style="66" customWidth="1"/>
    <col min="8471" max="8476" width="2.7109375" style="66" customWidth="1"/>
    <col min="8477" max="8477" width="5.7109375" style="66" customWidth="1"/>
    <col min="8478" max="8479" width="11.42578125" style="66"/>
    <col min="8480" max="8485" width="2.85546875" style="66" customWidth="1"/>
    <col min="8486" max="8486" width="4.85546875" style="66" customWidth="1"/>
    <col min="8487" max="8492" width="3.42578125" style="66" customWidth="1"/>
    <col min="8493" max="8493" width="3.28515625" style="66" customWidth="1"/>
    <col min="8494" max="8499" width="3.140625" style="66" customWidth="1"/>
    <col min="8500" max="8500" width="4.42578125" style="66" customWidth="1"/>
    <col min="8501" max="8506" width="3.28515625" style="66" customWidth="1"/>
    <col min="8507" max="8704" width="11.42578125" style="66"/>
    <col min="8705" max="8705" width="3.7109375" style="66" customWidth="1"/>
    <col min="8706" max="8711" width="2.85546875" style="66" customWidth="1"/>
    <col min="8712" max="8712" width="5.7109375" style="66" customWidth="1"/>
    <col min="8713" max="8718" width="2.7109375" style="66" customWidth="1"/>
    <col min="8719" max="8719" width="5.7109375" style="66" customWidth="1"/>
    <col min="8720" max="8725" width="2.7109375" style="66" customWidth="1"/>
    <col min="8726" max="8726" width="5.7109375" style="66" customWidth="1"/>
    <col min="8727" max="8732" width="2.7109375" style="66" customWidth="1"/>
    <col min="8733" max="8733" width="5.7109375" style="66" customWidth="1"/>
    <col min="8734" max="8735" width="11.42578125" style="66"/>
    <col min="8736" max="8741" width="2.85546875" style="66" customWidth="1"/>
    <col min="8742" max="8742" width="4.85546875" style="66" customWidth="1"/>
    <col min="8743" max="8748" width="3.42578125" style="66" customWidth="1"/>
    <col min="8749" max="8749" width="3.28515625" style="66" customWidth="1"/>
    <col min="8750" max="8755" width="3.140625" style="66" customWidth="1"/>
    <col min="8756" max="8756" width="4.42578125" style="66" customWidth="1"/>
    <col min="8757" max="8762" width="3.28515625" style="66" customWidth="1"/>
    <col min="8763" max="8960" width="11.42578125" style="66"/>
    <col min="8961" max="8961" width="3.7109375" style="66" customWidth="1"/>
    <col min="8962" max="8967" width="2.85546875" style="66" customWidth="1"/>
    <col min="8968" max="8968" width="5.7109375" style="66" customWidth="1"/>
    <col min="8969" max="8974" width="2.7109375" style="66" customWidth="1"/>
    <col min="8975" max="8975" width="5.7109375" style="66" customWidth="1"/>
    <col min="8976" max="8981" width="2.7109375" style="66" customWidth="1"/>
    <col min="8982" max="8982" width="5.7109375" style="66" customWidth="1"/>
    <col min="8983" max="8988" width="2.7109375" style="66" customWidth="1"/>
    <col min="8989" max="8989" width="5.7109375" style="66" customWidth="1"/>
    <col min="8990" max="8991" width="11.42578125" style="66"/>
    <col min="8992" max="8997" width="2.85546875" style="66" customWidth="1"/>
    <col min="8998" max="8998" width="4.85546875" style="66" customWidth="1"/>
    <col min="8999" max="9004" width="3.42578125" style="66" customWidth="1"/>
    <col min="9005" max="9005" width="3.28515625" style="66" customWidth="1"/>
    <col min="9006" max="9011" width="3.140625" style="66" customWidth="1"/>
    <col min="9012" max="9012" width="4.42578125" style="66" customWidth="1"/>
    <col min="9013" max="9018" width="3.28515625" style="66" customWidth="1"/>
    <col min="9019" max="9216" width="11.42578125" style="66"/>
    <col min="9217" max="9217" width="3.7109375" style="66" customWidth="1"/>
    <col min="9218" max="9223" width="2.85546875" style="66" customWidth="1"/>
    <col min="9224" max="9224" width="5.7109375" style="66" customWidth="1"/>
    <col min="9225" max="9230" width="2.7109375" style="66" customWidth="1"/>
    <col min="9231" max="9231" width="5.7109375" style="66" customWidth="1"/>
    <col min="9232" max="9237" width="2.7109375" style="66" customWidth="1"/>
    <col min="9238" max="9238" width="5.7109375" style="66" customWidth="1"/>
    <col min="9239" max="9244" width="2.7109375" style="66" customWidth="1"/>
    <col min="9245" max="9245" width="5.7109375" style="66" customWidth="1"/>
    <col min="9246" max="9247" width="11.42578125" style="66"/>
    <col min="9248" max="9253" width="2.85546875" style="66" customWidth="1"/>
    <col min="9254" max="9254" width="4.85546875" style="66" customWidth="1"/>
    <col min="9255" max="9260" width="3.42578125" style="66" customWidth="1"/>
    <col min="9261" max="9261" width="3.28515625" style="66" customWidth="1"/>
    <col min="9262" max="9267" width="3.140625" style="66" customWidth="1"/>
    <col min="9268" max="9268" width="4.42578125" style="66" customWidth="1"/>
    <col min="9269" max="9274" width="3.28515625" style="66" customWidth="1"/>
    <col min="9275" max="9472" width="11.42578125" style="66"/>
    <col min="9473" max="9473" width="3.7109375" style="66" customWidth="1"/>
    <col min="9474" max="9479" width="2.85546875" style="66" customWidth="1"/>
    <col min="9480" max="9480" width="5.7109375" style="66" customWidth="1"/>
    <col min="9481" max="9486" width="2.7109375" style="66" customWidth="1"/>
    <col min="9487" max="9487" width="5.7109375" style="66" customWidth="1"/>
    <col min="9488" max="9493" width="2.7109375" style="66" customWidth="1"/>
    <col min="9494" max="9494" width="5.7109375" style="66" customWidth="1"/>
    <col min="9495" max="9500" width="2.7109375" style="66" customWidth="1"/>
    <col min="9501" max="9501" width="5.7109375" style="66" customWidth="1"/>
    <col min="9502" max="9503" width="11.42578125" style="66"/>
    <col min="9504" max="9509" width="2.85546875" style="66" customWidth="1"/>
    <col min="9510" max="9510" width="4.85546875" style="66" customWidth="1"/>
    <col min="9511" max="9516" width="3.42578125" style="66" customWidth="1"/>
    <col min="9517" max="9517" width="3.28515625" style="66" customWidth="1"/>
    <col min="9518" max="9523" width="3.140625" style="66" customWidth="1"/>
    <col min="9524" max="9524" width="4.42578125" style="66" customWidth="1"/>
    <col min="9525" max="9530" width="3.28515625" style="66" customWidth="1"/>
    <col min="9531" max="9728" width="11.42578125" style="66"/>
    <col min="9729" max="9729" width="3.7109375" style="66" customWidth="1"/>
    <col min="9730" max="9735" width="2.85546875" style="66" customWidth="1"/>
    <col min="9736" max="9736" width="5.7109375" style="66" customWidth="1"/>
    <col min="9737" max="9742" width="2.7109375" style="66" customWidth="1"/>
    <col min="9743" max="9743" width="5.7109375" style="66" customWidth="1"/>
    <col min="9744" max="9749" width="2.7109375" style="66" customWidth="1"/>
    <col min="9750" max="9750" width="5.7109375" style="66" customWidth="1"/>
    <col min="9751" max="9756" width="2.7109375" style="66" customWidth="1"/>
    <col min="9757" max="9757" width="5.7109375" style="66" customWidth="1"/>
    <col min="9758" max="9759" width="11.42578125" style="66"/>
    <col min="9760" max="9765" width="2.85546875" style="66" customWidth="1"/>
    <col min="9766" max="9766" width="4.85546875" style="66" customWidth="1"/>
    <col min="9767" max="9772" width="3.42578125" style="66" customWidth="1"/>
    <col min="9773" max="9773" width="3.28515625" style="66" customWidth="1"/>
    <col min="9774" max="9779" width="3.140625" style="66" customWidth="1"/>
    <col min="9780" max="9780" width="4.42578125" style="66" customWidth="1"/>
    <col min="9781" max="9786" width="3.28515625" style="66" customWidth="1"/>
    <col min="9787" max="9984" width="11.42578125" style="66"/>
    <col min="9985" max="9985" width="3.7109375" style="66" customWidth="1"/>
    <col min="9986" max="9991" width="2.85546875" style="66" customWidth="1"/>
    <col min="9992" max="9992" width="5.7109375" style="66" customWidth="1"/>
    <col min="9993" max="9998" width="2.7109375" style="66" customWidth="1"/>
    <col min="9999" max="9999" width="5.7109375" style="66" customWidth="1"/>
    <col min="10000" max="10005" width="2.7109375" style="66" customWidth="1"/>
    <col min="10006" max="10006" width="5.7109375" style="66" customWidth="1"/>
    <col min="10007" max="10012" width="2.7109375" style="66" customWidth="1"/>
    <col min="10013" max="10013" width="5.7109375" style="66" customWidth="1"/>
    <col min="10014" max="10015" width="11.42578125" style="66"/>
    <col min="10016" max="10021" width="2.85546875" style="66" customWidth="1"/>
    <col min="10022" max="10022" width="4.85546875" style="66" customWidth="1"/>
    <col min="10023" max="10028" width="3.42578125" style="66" customWidth="1"/>
    <col min="10029" max="10029" width="3.28515625" style="66" customWidth="1"/>
    <col min="10030" max="10035" width="3.140625" style="66" customWidth="1"/>
    <col min="10036" max="10036" width="4.42578125" style="66" customWidth="1"/>
    <col min="10037" max="10042" width="3.28515625" style="66" customWidth="1"/>
    <col min="10043" max="10240" width="11.42578125" style="66"/>
    <col min="10241" max="10241" width="3.7109375" style="66" customWidth="1"/>
    <col min="10242" max="10247" width="2.85546875" style="66" customWidth="1"/>
    <col min="10248" max="10248" width="5.7109375" style="66" customWidth="1"/>
    <col min="10249" max="10254" width="2.7109375" style="66" customWidth="1"/>
    <col min="10255" max="10255" width="5.7109375" style="66" customWidth="1"/>
    <col min="10256" max="10261" width="2.7109375" style="66" customWidth="1"/>
    <col min="10262" max="10262" width="5.7109375" style="66" customWidth="1"/>
    <col min="10263" max="10268" width="2.7109375" style="66" customWidth="1"/>
    <col min="10269" max="10269" width="5.7109375" style="66" customWidth="1"/>
    <col min="10270" max="10271" width="11.42578125" style="66"/>
    <col min="10272" max="10277" width="2.85546875" style="66" customWidth="1"/>
    <col min="10278" max="10278" width="4.85546875" style="66" customWidth="1"/>
    <col min="10279" max="10284" width="3.42578125" style="66" customWidth="1"/>
    <col min="10285" max="10285" width="3.28515625" style="66" customWidth="1"/>
    <col min="10286" max="10291" width="3.140625" style="66" customWidth="1"/>
    <col min="10292" max="10292" width="4.42578125" style="66" customWidth="1"/>
    <col min="10293" max="10298" width="3.28515625" style="66" customWidth="1"/>
    <col min="10299" max="10496" width="11.42578125" style="66"/>
    <col min="10497" max="10497" width="3.7109375" style="66" customWidth="1"/>
    <col min="10498" max="10503" width="2.85546875" style="66" customWidth="1"/>
    <col min="10504" max="10504" width="5.7109375" style="66" customWidth="1"/>
    <col min="10505" max="10510" width="2.7109375" style="66" customWidth="1"/>
    <col min="10511" max="10511" width="5.7109375" style="66" customWidth="1"/>
    <col min="10512" max="10517" width="2.7109375" style="66" customWidth="1"/>
    <col min="10518" max="10518" width="5.7109375" style="66" customWidth="1"/>
    <col min="10519" max="10524" width="2.7109375" style="66" customWidth="1"/>
    <col min="10525" max="10525" width="5.7109375" style="66" customWidth="1"/>
    <col min="10526" max="10527" width="11.42578125" style="66"/>
    <col min="10528" max="10533" width="2.85546875" style="66" customWidth="1"/>
    <col min="10534" max="10534" width="4.85546875" style="66" customWidth="1"/>
    <col min="10535" max="10540" width="3.42578125" style="66" customWidth="1"/>
    <col min="10541" max="10541" width="3.28515625" style="66" customWidth="1"/>
    <col min="10542" max="10547" width="3.140625" style="66" customWidth="1"/>
    <col min="10548" max="10548" width="4.42578125" style="66" customWidth="1"/>
    <col min="10549" max="10554" width="3.28515625" style="66" customWidth="1"/>
    <col min="10555" max="10752" width="11.42578125" style="66"/>
    <col min="10753" max="10753" width="3.7109375" style="66" customWidth="1"/>
    <col min="10754" max="10759" width="2.85546875" style="66" customWidth="1"/>
    <col min="10760" max="10760" width="5.7109375" style="66" customWidth="1"/>
    <col min="10761" max="10766" width="2.7109375" style="66" customWidth="1"/>
    <col min="10767" max="10767" width="5.7109375" style="66" customWidth="1"/>
    <col min="10768" max="10773" width="2.7109375" style="66" customWidth="1"/>
    <col min="10774" max="10774" width="5.7109375" style="66" customWidth="1"/>
    <col min="10775" max="10780" width="2.7109375" style="66" customWidth="1"/>
    <col min="10781" max="10781" width="5.7109375" style="66" customWidth="1"/>
    <col min="10782" max="10783" width="11.42578125" style="66"/>
    <col min="10784" max="10789" width="2.85546875" style="66" customWidth="1"/>
    <col min="10790" max="10790" width="4.85546875" style="66" customWidth="1"/>
    <col min="10791" max="10796" width="3.42578125" style="66" customWidth="1"/>
    <col min="10797" max="10797" width="3.28515625" style="66" customWidth="1"/>
    <col min="10798" max="10803" width="3.140625" style="66" customWidth="1"/>
    <col min="10804" max="10804" width="4.42578125" style="66" customWidth="1"/>
    <col min="10805" max="10810" width="3.28515625" style="66" customWidth="1"/>
    <col min="10811" max="11008" width="11.42578125" style="66"/>
    <col min="11009" max="11009" width="3.7109375" style="66" customWidth="1"/>
    <col min="11010" max="11015" width="2.85546875" style="66" customWidth="1"/>
    <col min="11016" max="11016" width="5.7109375" style="66" customWidth="1"/>
    <col min="11017" max="11022" width="2.7109375" style="66" customWidth="1"/>
    <col min="11023" max="11023" width="5.7109375" style="66" customWidth="1"/>
    <col min="11024" max="11029" width="2.7109375" style="66" customWidth="1"/>
    <col min="11030" max="11030" width="5.7109375" style="66" customWidth="1"/>
    <col min="11031" max="11036" width="2.7109375" style="66" customWidth="1"/>
    <col min="11037" max="11037" width="5.7109375" style="66" customWidth="1"/>
    <col min="11038" max="11039" width="11.42578125" style="66"/>
    <col min="11040" max="11045" width="2.85546875" style="66" customWidth="1"/>
    <col min="11046" max="11046" width="4.85546875" style="66" customWidth="1"/>
    <col min="11047" max="11052" width="3.42578125" style="66" customWidth="1"/>
    <col min="11053" max="11053" width="3.28515625" style="66" customWidth="1"/>
    <col min="11054" max="11059" width="3.140625" style="66" customWidth="1"/>
    <col min="11060" max="11060" width="4.42578125" style="66" customWidth="1"/>
    <col min="11061" max="11066" width="3.28515625" style="66" customWidth="1"/>
    <col min="11067" max="11264" width="11.42578125" style="66"/>
    <col min="11265" max="11265" width="3.7109375" style="66" customWidth="1"/>
    <col min="11266" max="11271" width="2.85546875" style="66" customWidth="1"/>
    <col min="11272" max="11272" width="5.7109375" style="66" customWidth="1"/>
    <col min="11273" max="11278" width="2.7109375" style="66" customWidth="1"/>
    <col min="11279" max="11279" width="5.7109375" style="66" customWidth="1"/>
    <col min="11280" max="11285" width="2.7109375" style="66" customWidth="1"/>
    <col min="11286" max="11286" width="5.7109375" style="66" customWidth="1"/>
    <col min="11287" max="11292" width="2.7109375" style="66" customWidth="1"/>
    <col min="11293" max="11293" width="5.7109375" style="66" customWidth="1"/>
    <col min="11294" max="11295" width="11.42578125" style="66"/>
    <col min="11296" max="11301" width="2.85546875" style="66" customWidth="1"/>
    <col min="11302" max="11302" width="4.85546875" style="66" customWidth="1"/>
    <col min="11303" max="11308" width="3.42578125" style="66" customWidth="1"/>
    <col min="11309" max="11309" width="3.28515625" style="66" customWidth="1"/>
    <col min="11310" max="11315" width="3.140625" style="66" customWidth="1"/>
    <col min="11316" max="11316" width="4.42578125" style="66" customWidth="1"/>
    <col min="11317" max="11322" width="3.28515625" style="66" customWidth="1"/>
    <col min="11323" max="11520" width="11.42578125" style="66"/>
    <col min="11521" max="11521" width="3.7109375" style="66" customWidth="1"/>
    <col min="11522" max="11527" width="2.85546875" style="66" customWidth="1"/>
    <col min="11528" max="11528" width="5.7109375" style="66" customWidth="1"/>
    <col min="11529" max="11534" width="2.7109375" style="66" customWidth="1"/>
    <col min="11535" max="11535" width="5.7109375" style="66" customWidth="1"/>
    <col min="11536" max="11541" width="2.7109375" style="66" customWidth="1"/>
    <col min="11542" max="11542" width="5.7109375" style="66" customWidth="1"/>
    <col min="11543" max="11548" width="2.7109375" style="66" customWidth="1"/>
    <col min="11549" max="11549" width="5.7109375" style="66" customWidth="1"/>
    <col min="11550" max="11551" width="11.42578125" style="66"/>
    <col min="11552" max="11557" width="2.85546875" style="66" customWidth="1"/>
    <col min="11558" max="11558" width="4.85546875" style="66" customWidth="1"/>
    <col min="11559" max="11564" width="3.42578125" style="66" customWidth="1"/>
    <col min="11565" max="11565" width="3.28515625" style="66" customWidth="1"/>
    <col min="11566" max="11571" width="3.140625" style="66" customWidth="1"/>
    <col min="11572" max="11572" width="4.42578125" style="66" customWidth="1"/>
    <col min="11573" max="11578" width="3.28515625" style="66" customWidth="1"/>
    <col min="11579" max="11776" width="11.42578125" style="66"/>
    <col min="11777" max="11777" width="3.7109375" style="66" customWidth="1"/>
    <col min="11778" max="11783" width="2.85546875" style="66" customWidth="1"/>
    <col min="11784" max="11784" width="5.7109375" style="66" customWidth="1"/>
    <col min="11785" max="11790" width="2.7109375" style="66" customWidth="1"/>
    <col min="11791" max="11791" width="5.7109375" style="66" customWidth="1"/>
    <col min="11792" max="11797" width="2.7109375" style="66" customWidth="1"/>
    <col min="11798" max="11798" width="5.7109375" style="66" customWidth="1"/>
    <col min="11799" max="11804" width="2.7109375" style="66" customWidth="1"/>
    <col min="11805" max="11805" width="5.7109375" style="66" customWidth="1"/>
    <col min="11806" max="11807" width="11.42578125" style="66"/>
    <col min="11808" max="11813" width="2.85546875" style="66" customWidth="1"/>
    <col min="11814" max="11814" width="4.85546875" style="66" customWidth="1"/>
    <col min="11815" max="11820" width="3.42578125" style="66" customWidth="1"/>
    <col min="11821" max="11821" width="3.28515625" style="66" customWidth="1"/>
    <col min="11822" max="11827" width="3.140625" style="66" customWidth="1"/>
    <col min="11828" max="11828" width="4.42578125" style="66" customWidth="1"/>
    <col min="11829" max="11834" width="3.28515625" style="66" customWidth="1"/>
    <col min="11835" max="12032" width="11.42578125" style="66"/>
    <col min="12033" max="12033" width="3.7109375" style="66" customWidth="1"/>
    <col min="12034" max="12039" width="2.85546875" style="66" customWidth="1"/>
    <col min="12040" max="12040" width="5.7109375" style="66" customWidth="1"/>
    <col min="12041" max="12046" width="2.7109375" style="66" customWidth="1"/>
    <col min="12047" max="12047" width="5.7109375" style="66" customWidth="1"/>
    <col min="12048" max="12053" width="2.7109375" style="66" customWidth="1"/>
    <col min="12054" max="12054" width="5.7109375" style="66" customWidth="1"/>
    <col min="12055" max="12060" width="2.7109375" style="66" customWidth="1"/>
    <col min="12061" max="12061" width="5.7109375" style="66" customWidth="1"/>
    <col min="12062" max="12063" width="11.42578125" style="66"/>
    <col min="12064" max="12069" width="2.85546875" style="66" customWidth="1"/>
    <col min="12070" max="12070" width="4.85546875" style="66" customWidth="1"/>
    <col min="12071" max="12076" width="3.42578125" style="66" customWidth="1"/>
    <col min="12077" max="12077" width="3.28515625" style="66" customWidth="1"/>
    <col min="12078" max="12083" width="3.140625" style="66" customWidth="1"/>
    <col min="12084" max="12084" width="4.42578125" style="66" customWidth="1"/>
    <col min="12085" max="12090" width="3.28515625" style="66" customWidth="1"/>
    <col min="12091" max="12288" width="11.42578125" style="66"/>
    <col min="12289" max="12289" width="3.7109375" style="66" customWidth="1"/>
    <col min="12290" max="12295" width="2.85546875" style="66" customWidth="1"/>
    <col min="12296" max="12296" width="5.7109375" style="66" customWidth="1"/>
    <col min="12297" max="12302" width="2.7109375" style="66" customWidth="1"/>
    <col min="12303" max="12303" width="5.7109375" style="66" customWidth="1"/>
    <col min="12304" max="12309" width="2.7109375" style="66" customWidth="1"/>
    <col min="12310" max="12310" width="5.7109375" style="66" customWidth="1"/>
    <col min="12311" max="12316" width="2.7109375" style="66" customWidth="1"/>
    <col min="12317" max="12317" width="5.7109375" style="66" customWidth="1"/>
    <col min="12318" max="12319" width="11.42578125" style="66"/>
    <col min="12320" max="12325" width="2.85546875" style="66" customWidth="1"/>
    <col min="12326" max="12326" width="4.85546875" style="66" customWidth="1"/>
    <col min="12327" max="12332" width="3.42578125" style="66" customWidth="1"/>
    <col min="12333" max="12333" width="3.28515625" style="66" customWidth="1"/>
    <col min="12334" max="12339" width="3.140625" style="66" customWidth="1"/>
    <col min="12340" max="12340" width="4.42578125" style="66" customWidth="1"/>
    <col min="12341" max="12346" width="3.28515625" style="66" customWidth="1"/>
    <col min="12347" max="12544" width="11.42578125" style="66"/>
    <col min="12545" max="12545" width="3.7109375" style="66" customWidth="1"/>
    <col min="12546" max="12551" width="2.85546875" style="66" customWidth="1"/>
    <col min="12552" max="12552" width="5.7109375" style="66" customWidth="1"/>
    <col min="12553" max="12558" width="2.7109375" style="66" customWidth="1"/>
    <col min="12559" max="12559" width="5.7109375" style="66" customWidth="1"/>
    <col min="12560" max="12565" width="2.7109375" style="66" customWidth="1"/>
    <col min="12566" max="12566" width="5.7109375" style="66" customWidth="1"/>
    <col min="12567" max="12572" width="2.7109375" style="66" customWidth="1"/>
    <col min="12573" max="12573" width="5.7109375" style="66" customWidth="1"/>
    <col min="12574" max="12575" width="11.42578125" style="66"/>
    <col min="12576" max="12581" width="2.85546875" style="66" customWidth="1"/>
    <col min="12582" max="12582" width="4.85546875" style="66" customWidth="1"/>
    <col min="12583" max="12588" width="3.42578125" style="66" customWidth="1"/>
    <col min="12589" max="12589" width="3.28515625" style="66" customWidth="1"/>
    <col min="12590" max="12595" width="3.140625" style="66" customWidth="1"/>
    <col min="12596" max="12596" width="4.42578125" style="66" customWidth="1"/>
    <col min="12597" max="12602" width="3.28515625" style="66" customWidth="1"/>
    <col min="12603" max="12800" width="11.42578125" style="66"/>
    <col min="12801" max="12801" width="3.7109375" style="66" customWidth="1"/>
    <col min="12802" max="12807" width="2.85546875" style="66" customWidth="1"/>
    <col min="12808" max="12808" width="5.7109375" style="66" customWidth="1"/>
    <col min="12809" max="12814" width="2.7109375" style="66" customWidth="1"/>
    <col min="12815" max="12815" width="5.7109375" style="66" customWidth="1"/>
    <col min="12816" max="12821" width="2.7109375" style="66" customWidth="1"/>
    <col min="12822" max="12822" width="5.7109375" style="66" customWidth="1"/>
    <col min="12823" max="12828" width="2.7109375" style="66" customWidth="1"/>
    <col min="12829" max="12829" width="5.7109375" style="66" customWidth="1"/>
    <col min="12830" max="12831" width="11.42578125" style="66"/>
    <col min="12832" max="12837" width="2.85546875" style="66" customWidth="1"/>
    <col min="12838" max="12838" width="4.85546875" style="66" customWidth="1"/>
    <col min="12839" max="12844" width="3.42578125" style="66" customWidth="1"/>
    <col min="12845" max="12845" width="3.28515625" style="66" customWidth="1"/>
    <col min="12846" max="12851" width="3.140625" style="66" customWidth="1"/>
    <col min="12852" max="12852" width="4.42578125" style="66" customWidth="1"/>
    <col min="12853" max="12858" width="3.28515625" style="66" customWidth="1"/>
    <col min="12859" max="13056" width="11.42578125" style="66"/>
    <col min="13057" max="13057" width="3.7109375" style="66" customWidth="1"/>
    <col min="13058" max="13063" width="2.85546875" style="66" customWidth="1"/>
    <col min="13064" max="13064" width="5.7109375" style="66" customWidth="1"/>
    <col min="13065" max="13070" width="2.7109375" style="66" customWidth="1"/>
    <col min="13071" max="13071" width="5.7109375" style="66" customWidth="1"/>
    <col min="13072" max="13077" width="2.7109375" style="66" customWidth="1"/>
    <col min="13078" max="13078" width="5.7109375" style="66" customWidth="1"/>
    <col min="13079" max="13084" width="2.7109375" style="66" customWidth="1"/>
    <col min="13085" max="13085" width="5.7109375" style="66" customWidth="1"/>
    <col min="13086" max="13087" width="11.42578125" style="66"/>
    <col min="13088" max="13093" width="2.85546875" style="66" customWidth="1"/>
    <col min="13094" max="13094" width="4.85546875" style="66" customWidth="1"/>
    <col min="13095" max="13100" width="3.42578125" style="66" customWidth="1"/>
    <col min="13101" max="13101" width="3.28515625" style="66" customWidth="1"/>
    <col min="13102" max="13107" width="3.140625" style="66" customWidth="1"/>
    <col min="13108" max="13108" width="4.42578125" style="66" customWidth="1"/>
    <col min="13109" max="13114" width="3.28515625" style="66" customWidth="1"/>
    <col min="13115" max="13312" width="11.42578125" style="66"/>
    <col min="13313" max="13313" width="3.7109375" style="66" customWidth="1"/>
    <col min="13314" max="13319" width="2.85546875" style="66" customWidth="1"/>
    <col min="13320" max="13320" width="5.7109375" style="66" customWidth="1"/>
    <col min="13321" max="13326" width="2.7109375" style="66" customWidth="1"/>
    <col min="13327" max="13327" width="5.7109375" style="66" customWidth="1"/>
    <col min="13328" max="13333" width="2.7109375" style="66" customWidth="1"/>
    <col min="13334" max="13334" width="5.7109375" style="66" customWidth="1"/>
    <col min="13335" max="13340" width="2.7109375" style="66" customWidth="1"/>
    <col min="13341" max="13341" width="5.7109375" style="66" customWidth="1"/>
    <col min="13342" max="13343" width="11.42578125" style="66"/>
    <col min="13344" max="13349" width="2.85546875" style="66" customWidth="1"/>
    <col min="13350" max="13350" width="4.85546875" style="66" customWidth="1"/>
    <col min="13351" max="13356" width="3.42578125" style="66" customWidth="1"/>
    <col min="13357" max="13357" width="3.28515625" style="66" customWidth="1"/>
    <col min="13358" max="13363" width="3.140625" style="66" customWidth="1"/>
    <col min="13364" max="13364" width="4.42578125" style="66" customWidth="1"/>
    <col min="13365" max="13370" width="3.28515625" style="66" customWidth="1"/>
    <col min="13371" max="13568" width="11.42578125" style="66"/>
    <col min="13569" max="13569" width="3.7109375" style="66" customWidth="1"/>
    <col min="13570" max="13575" width="2.85546875" style="66" customWidth="1"/>
    <col min="13576" max="13576" width="5.7109375" style="66" customWidth="1"/>
    <col min="13577" max="13582" width="2.7109375" style="66" customWidth="1"/>
    <col min="13583" max="13583" width="5.7109375" style="66" customWidth="1"/>
    <col min="13584" max="13589" width="2.7109375" style="66" customWidth="1"/>
    <col min="13590" max="13590" width="5.7109375" style="66" customWidth="1"/>
    <col min="13591" max="13596" width="2.7109375" style="66" customWidth="1"/>
    <col min="13597" max="13597" width="5.7109375" style="66" customWidth="1"/>
    <col min="13598" max="13599" width="11.42578125" style="66"/>
    <col min="13600" max="13605" width="2.85546875" style="66" customWidth="1"/>
    <col min="13606" max="13606" width="4.85546875" style="66" customWidth="1"/>
    <col min="13607" max="13612" width="3.42578125" style="66" customWidth="1"/>
    <col min="13613" max="13613" width="3.28515625" style="66" customWidth="1"/>
    <col min="13614" max="13619" width="3.140625" style="66" customWidth="1"/>
    <col min="13620" max="13620" width="4.42578125" style="66" customWidth="1"/>
    <col min="13621" max="13626" width="3.28515625" style="66" customWidth="1"/>
    <col min="13627" max="13824" width="11.42578125" style="66"/>
    <col min="13825" max="13825" width="3.7109375" style="66" customWidth="1"/>
    <col min="13826" max="13831" width="2.85546875" style="66" customWidth="1"/>
    <col min="13832" max="13832" width="5.7109375" style="66" customWidth="1"/>
    <col min="13833" max="13838" width="2.7109375" style="66" customWidth="1"/>
    <col min="13839" max="13839" width="5.7109375" style="66" customWidth="1"/>
    <col min="13840" max="13845" width="2.7109375" style="66" customWidth="1"/>
    <col min="13846" max="13846" width="5.7109375" style="66" customWidth="1"/>
    <col min="13847" max="13852" width="2.7109375" style="66" customWidth="1"/>
    <col min="13853" max="13853" width="5.7109375" style="66" customWidth="1"/>
    <col min="13854" max="13855" width="11.42578125" style="66"/>
    <col min="13856" max="13861" width="2.85546875" style="66" customWidth="1"/>
    <col min="13862" max="13862" width="4.85546875" style="66" customWidth="1"/>
    <col min="13863" max="13868" width="3.42578125" style="66" customWidth="1"/>
    <col min="13869" max="13869" width="3.28515625" style="66" customWidth="1"/>
    <col min="13870" max="13875" width="3.140625" style="66" customWidth="1"/>
    <col min="13876" max="13876" width="4.42578125" style="66" customWidth="1"/>
    <col min="13877" max="13882" width="3.28515625" style="66" customWidth="1"/>
    <col min="13883" max="14080" width="11.42578125" style="66"/>
    <col min="14081" max="14081" width="3.7109375" style="66" customWidth="1"/>
    <col min="14082" max="14087" width="2.85546875" style="66" customWidth="1"/>
    <col min="14088" max="14088" width="5.7109375" style="66" customWidth="1"/>
    <col min="14089" max="14094" width="2.7109375" style="66" customWidth="1"/>
    <col min="14095" max="14095" width="5.7109375" style="66" customWidth="1"/>
    <col min="14096" max="14101" width="2.7109375" style="66" customWidth="1"/>
    <col min="14102" max="14102" width="5.7109375" style="66" customWidth="1"/>
    <col min="14103" max="14108" width="2.7109375" style="66" customWidth="1"/>
    <col min="14109" max="14109" width="5.7109375" style="66" customWidth="1"/>
    <col min="14110" max="14111" width="11.42578125" style="66"/>
    <col min="14112" max="14117" width="2.85546875" style="66" customWidth="1"/>
    <col min="14118" max="14118" width="4.85546875" style="66" customWidth="1"/>
    <col min="14119" max="14124" width="3.42578125" style="66" customWidth="1"/>
    <col min="14125" max="14125" width="3.28515625" style="66" customWidth="1"/>
    <col min="14126" max="14131" width="3.140625" style="66" customWidth="1"/>
    <col min="14132" max="14132" width="4.42578125" style="66" customWidth="1"/>
    <col min="14133" max="14138" width="3.28515625" style="66" customWidth="1"/>
    <col min="14139" max="14336" width="11.42578125" style="66"/>
    <col min="14337" max="14337" width="3.7109375" style="66" customWidth="1"/>
    <col min="14338" max="14343" width="2.85546875" style="66" customWidth="1"/>
    <col min="14344" max="14344" width="5.7109375" style="66" customWidth="1"/>
    <col min="14345" max="14350" width="2.7109375" style="66" customWidth="1"/>
    <col min="14351" max="14351" width="5.7109375" style="66" customWidth="1"/>
    <col min="14352" max="14357" width="2.7109375" style="66" customWidth="1"/>
    <col min="14358" max="14358" width="5.7109375" style="66" customWidth="1"/>
    <col min="14359" max="14364" width="2.7109375" style="66" customWidth="1"/>
    <col min="14365" max="14365" width="5.7109375" style="66" customWidth="1"/>
    <col min="14366" max="14367" width="11.42578125" style="66"/>
    <col min="14368" max="14373" width="2.85546875" style="66" customWidth="1"/>
    <col min="14374" max="14374" width="4.85546875" style="66" customWidth="1"/>
    <col min="14375" max="14380" width="3.42578125" style="66" customWidth="1"/>
    <col min="14381" max="14381" width="3.28515625" style="66" customWidth="1"/>
    <col min="14382" max="14387" width="3.140625" style="66" customWidth="1"/>
    <col min="14388" max="14388" width="4.42578125" style="66" customWidth="1"/>
    <col min="14389" max="14394" width="3.28515625" style="66" customWidth="1"/>
    <col min="14395" max="14592" width="11.42578125" style="66"/>
    <col min="14593" max="14593" width="3.7109375" style="66" customWidth="1"/>
    <col min="14594" max="14599" width="2.85546875" style="66" customWidth="1"/>
    <col min="14600" max="14600" width="5.7109375" style="66" customWidth="1"/>
    <col min="14601" max="14606" width="2.7109375" style="66" customWidth="1"/>
    <col min="14607" max="14607" width="5.7109375" style="66" customWidth="1"/>
    <col min="14608" max="14613" width="2.7109375" style="66" customWidth="1"/>
    <col min="14614" max="14614" width="5.7109375" style="66" customWidth="1"/>
    <col min="14615" max="14620" width="2.7109375" style="66" customWidth="1"/>
    <col min="14621" max="14621" width="5.7109375" style="66" customWidth="1"/>
    <col min="14622" max="14623" width="11.42578125" style="66"/>
    <col min="14624" max="14629" width="2.85546875" style="66" customWidth="1"/>
    <col min="14630" max="14630" width="4.85546875" style="66" customWidth="1"/>
    <col min="14631" max="14636" width="3.42578125" style="66" customWidth="1"/>
    <col min="14637" max="14637" width="3.28515625" style="66" customWidth="1"/>
    <col min="14638" max="14643" width="3.140625" style="66" customWidth="1"/>
    <col min="14644" max="14644" width="4.42578125" style="66" customWidth="1"/>
    <col min="14645" max="14650" width="3.28515625" style="66" customWidth="1"/>
    <col min="14651" max="14848" width="11.42578125" style="66"/>
    <col min="14849" max="14849" width="3.7109375" style="66" customWidth="1"/>
    <col min="14850" max="14855" width="2.85546875" style="66" customWidth="1"/>
    <col min="14856" max="14856" width="5.7109375" style="66" customWidth="1"/>
    <col min="14857" max="14862" width="2.7109375" style="66" customWidth="1"/>
    <col min="14863" max="14863" width="5.7109375" style="66" customWidth="1"/>
    <col min="14864" max="14869" width="2.7109375" style="66" customWidth="1"/>
    <col min="14870" max="14870" width="5.7109375" style="66" customWidth="1"/>
    <col min="14871" max="14876" width="2.7109375" style="66" customWidth="1"/>
    <col min="14877" max="14877" width="5.7109375" style="66" customWidth="1"/>
    <col min="14878" max="14879" width="11.42578125" style="66"/>
    <col min="14880" max="14885" width="2.85546875" style="66" customWidth="1"/>
    <col min="14886" max="14886" width="4.85546875" style="66" customWidth="1"/>
    <col min="14887" max="14892" width="3.42578125" style="66" customWidth="1"/>
    <col min="14893" max="14893" width="3.28515625" style="66" customWidth="1"/>
    <col min="14894" max="14899" width="3.140625" style="66" customWidth="1"/>
    <col min="14900" max="14900" width="4.42578125" style="66" customWidth="1"/>
    <col min="14901" max="14906" width="3.28515625" style="66" customWidth="1"/>
    <col min="14907" max="15104" width="11.42578125" style="66"/>
    <col min="15105" max="15105" width="3.7109375" style="66" customWidth="1"/>
    <col min="15106" max="15111" width="2.85546875" style="66" customWidth="1"/>
    <col min="15112" max="15112" width="5.7109375" style="66" customWidth="1"/>
    <col min="15113" max="15118" width="2.7109375" style="66" customWidth="1"/>
    <col min="15119" max="15119" width="5.7109375" style="66" customWidth="1"/>
    <col min="15120" max="15125" width="2.7109375" style="66" customWidth="1"/>
    <col min="15126" max="15126" width="5.7109375" style="66" customWidth="1"/>
    <col min="15127" max="15132" width="2.7109375" style="66" customWidth="1"/>
    <col min="15133" max="15133" width="5.7109375" style="66" customWidth="1"/>
    <col min="15134" max="15135" width="11.42578125" style="66"/>
    <col min="15136" max="15141" width="2.85546875" style="66" customWidth="1"/>
    <col min="15142" max="15142" width="4.85546875" style="66" customWidth="1"/>
    <col min="15143" max="15148" width="3.42578125" style="66" customWidth="1"/>
    <col min="15149" max="15149" width="3.28515625" style="66" customWidth="1"/>
    <col min="15150" max="15155" width="3.140625" style="66" customWidth="1"/>
    <col min="15156" max="15156" width="4.42578125" style="66" customWidth="1"/>
    <col min="15157" max="15162" width="3.28515625" style="66" customWidth="1"/>
    <col min="15163" max="15360" width="11.42578125" style="66"/>
    <col min="15361" max="15361" width="3.7109375" style="66" customWidth="1"/>
    <col min="15362" max="15367" width="2.85546875" style="66" customWidth="1"/>
    <col min="15368" max="15368" width="5.7109375" style="66" customWidth="1"/>
    <col min="15369" max="15374" width="2.7109375" style="66" customWidth="1"/>
    <col min="15375" max="15375" width="5.7109375" style="66" customWidth="1"/>
    <col min="15376" max="15381" width="2.7109375" style="66" customWidth="1"/>
    <col min="15382" max="15382" width="5.7109375" style="66" customWidth="1"/>
    <col min="15383" max="15388" width="2.7109375" style="66" customWidth="1"/>
    <col min="15389" max="15389" width="5.7109375" style="66" customWidth="1"/>
    <col min="15390" max="15391" width="11.42578125" style="66"/>
    <col min="15392" max="15397" width="2.85546875" style="66" customWidth="1"/>
    <col min="15398" max="15398" width="4.85546875" style="66" customWidth="1"/>
    <col min="15399" max="15404" width="3.42578125" style="66" customWidth="1"/>
    <col min="15405" max="15405" width="3.28515625" style="66" customWidth="1"/>
    <col min="15406" max="15411" width="3.140625" style="66" customWidth="1"/>
    <col min="15412" max="15412" width="4.42578125" style="66" customWidth="1"/>
    <col min="15413" max="15418" width="3.28515625" style="66" customWidth="1"/>
    <col min="15419" max="15616" width="11.42578125" style="66"/>
    <col min="15617" max="15617" width="3.7109375" style="66" customWidth="1"/>
    <col min="15618" max="15623" width="2.85546875" style="66" customWidth="1"/>
    <col min="15624" max="15624" width="5.7109375" style="66" customWidth="1"/>
    <col min="15625" max="15630" width="2.7109375" style="66" customWidth="1"/>
    <col min="15631" max="15631" width="5.7109375" style="66" customWidth="1"/>
    <col min="15632" max="15637" width="2.7109375" style="66" customWidth="1"/>
    <col min="15638" max="15638" width="5.7109375" style="66" customWidth="1"/>
    <col min="15639" max="15644" width="2.7109375" style="66" customWidth="1"/>
    <col min="15645" max="15645" width="5.7109375" style="66" customWidth="1"/>
    <col min="15646" max="15647" width="11.42578125" style="66"/>
    <col min="15648" max="15653" width="2.85546875" style="66" customWidth="1"/>
    <col min="15654" max="15654" width="4.85546875" style="66" customWidth="1"/>
    <col min="15655" max="15660" width="3.42578125" style="66" customWidth="1"/>
    <col min="15661" max="15661" width="3.28515625" style="66" customWidth="1"/>
    <col min="15662" max="15667" width="3.140625" style="66" customWidth="1"/>
    <col min="15668" max="15668" width="4.42578125" style="66" customWidth="1"/>
    <col min="15669" max="15674" width="3.28515625" style="66" customWidth="1"/>
    <col min="15675" max="15872" width="11.42578125" style="66"/>
    <col min="15873" max="15873" width="3.7109375" style="66" customWidth="1"/>
    <col min="15874" max="15879" width="2.85546875" style="66" customWidth="1"/>
    <col min="15880" max="15880" width="5.7109375" style="66" customWidth="1"/>
    <col min="15881" max="15886" width="2.7109375" style="66" customWidth="1"/>
    <col min="15887" max="15887" width="5.7109375" style="66" customWidth="1"/>
    <col min="15888" max="15893" width="2.7109375" style="66" customWidth="1"/>
    <col min="15894" max="15894" width="5.7109375" style="66" customWidth="1"/>
    <col min="15895" max="15900" width="2.7109375" style="66" customWidth="1"/>
    <col min="15901" max="15901" width="5.7109375" style="66" customWidth="1"/>
    <col min="15902" max="15903" width="11.42578125" style="66"/>
    <col min="15904" max="15909" width="2.85546875" style="66" customWidth="1"/>
    <col min="15910" max="15910" width="4.85546875" style="66" customWidth="1"/>
    <col min="15911" max="15916" width="3.42578125" style="66" customWidth="1"/>
    <col min="15917" max="15917" width="3.28515625" style="66" customWidth="1"/>
    <col min="15918" max="15923" width="3.140625" style="66" customWidth="1"/>
    <col min="15924" max="15924" width="4.42578125" style="66" customWidth="1"/>
    <col min="15925" max="15930" width="3.28515625" style="66" customWidth="1"/>
    <col min="15931" max="16128" width="11.42578125" style="66"/>
    <col min="16129" max="16129" width="3.7109375" style="66" customWidth="1"/>
    <col min="16130" max="16135" width="2.85546875" style="66" customWidth="1"/>
    <col min="16136" max="16136" width="5.7109375" style="66" customWidth="1"/>
    <col min="16137" max="16142" width="2.7109375" style="66" customWidth="1"/>
    <col min="16143" max="16143" width="5.7109375" style="66" customWidth="1"/>
    <col min="16144" max="16149" width="2.7109375" style="66" customWidth="1"/>
    <col min="16150" max="16150" width="5.7109375" style="66" customWidth="1"/>
    <col min="16151" max="16156" width="2.7109375" style="66" customWidth="1"/>
    <col min="16157" max="16157" width="5.7109375" style="66" customWidth="1"/>
    <col min="16158" max="16159" width="11.42578125" style="66"/>
    <col min="16160" max="16165" width="2.85546875" style="66" customWidth="1"/>
    <col min="16166" max="16166" width="4.85546875" style="66" customWidth="1"/>
    <col min="16167" max="16172" width="3.42578125" style="66" customWidth="1"/>
    <col min="16173" max="16173" width="3.28515625" style="66" customWidth="1"/>
    <col min="16174" max="16179" width="3.140625" style="66" customWidth="1"/>
    <col min="16180" max="16180" width="4.42578125" style="66" customWidth="1"/>
    <col min="16181" max="16186" width="3.28515625" style="66" customWidth="1"/>
    <col min="16187" max="16384" width="11.42578125" style="66"/>
  </cols>
  <sheetData>
    <row r="1" spans="1:34" ht="22.5" x14ac:dyDescent="0.45">
      <c r="A1" s="65" t="s">
        <v>339</v>
      </c>
      <c r="B1" s="67"/>
      <c r="AE1" s="79"/>
      <c r="AF1" s="79"/>
      <c r="AG1" s="79"/>
      <c r="AH1" s="80"/>
    </row>
    <row r="2" spans="1:34" ht="3" customHeight="1" x14ac:dyDescent="0.2"/>
    <row r="3" spans="1:34" ht="19.5" x14ac:dyDescent="0.4">
      <c r="A3" s="68" t="s">
        <v>808</v>
      </c>
      <c r="B3" s="67"/>
      <c r="AE3" s="79"/>
      <c r="AF3" s="79"/>
      <c r="AG3" s="79"/>
      <c r="AH3" s="80"/>
    </row>
    <row r="4" spans="1:34" ht="3" customHeight="1" x14ac:dyDescent="0.3">
      <c r="B4" s="67"/>
      <c r="AE4" s="79"/>
      <c r="AF4" s="79"/>
      <c r="AG4" s="79"/>
      <c r="AH4" s="80"/>
    </row>
    <row r="5" spans="1:34" ht="12" customHeight="1" x14ac:dyDescent="0.3">
      <c r="A5" s="69"/>
      <c r="B5" s="73"/>
      <c r="C5" s="306" t="s">
        <v>325</v>
      </c>
      <c r="D5" s="306"/>
      <c r="E5" s="306"/>
      <c r="F5" s="306"/>
      <c r="G5" s="306"/>
      <c r="H5" s="69"/>
      <c r="I5" s="69"/>
      <c r="J5" s="306" t="s">
        <v>326</v>
      </c>
      <c r="K5" s="306"/>
      <c r="L5" s="306"/>
      <c r="M5" s="306"/>
      <c r="N5" s="306"/>
      <c r="O5" s="69"/>
      <c r="P5" s="69"/>
      <c r="Q5" s="306" t="s">
        <v>327</v>
      </c>
      <c r="R5" s="306"/>
      <c r="S5" s="306"/>
      <c r="T5" s="306"/>
      <c r="U5" s="306"/>
      <c r="V5" s="69"/>
      <c r="W5" s="69"/>
      <c r="X5" s="306" t="s">
        <v>328</v>
      </c>
      <c r="Y5" s="306"/>
      <c r="Z5" s="306"/>
      <c r="AA5" s="306"/>
      <c r="AB5" s="306"/>
      <c r="AC5" s="69"/>
      <c r="AE5" s="79"/>
      <c r="AF5" s="79"/>
      <c r="AG5" s="79"/>
      <c r="AH5" s="80"/>
    </row>
    <row r="6" spans="1:34" ht="3" customHeight="1" x14ac:dyDescent="0.3">
      <c r="B6" s="67"/>
      <c r="J6" s="67"/>
      <c r="K6" s="67"/>
      <c r="L6" s="67"/>
      <c r="M6" s="67"/>
      <c r="N6" s="67"/>
      <c r="Q6" s="67"/>
      <c r="R6" s="67"/>
      <c r="S6" s="67"/>
      <c r="T6" s="67"/>
      <c r="U6" s="67"/>
      <c r="X6" s="67"/>
      <c r="Y6" s="67"/>
      <c r="Z6" s="67"/>
      <c r="AA6" s="67"/>
      <c r="AB6" s="67"/>
      <c r="AE6" s="79"/>
      <c r="AF6" s="79"/>
      <c r="AG6" s="79"/>
      <c r="AH6" s="80"/>
    </row>
    <row r="7" spans="1:34" ht="15" customHeight="1" x14ac:dyDescent="0.3">
      <c r="A7" s="69"/>
      <c r="B7" s="71" t="s">
        <v>329</v>
      </c>
      <c r="C7" s="71"/>
      <c r="D7" s="72"/>
      <c r="E7" s="72"/>
      <c r="F7" s="72"/>
      <c r="G7" s="72"/>
      <c r="H7" s="69"/>
      <c r="I7" s="71" t="s">
        <v>329</v>
      </c>
      <c r="J7" s="71"/>
      <c r="K7" s="72"/>
      <c r="L7" s="72"/>
      <c r="M7" s="72"/>
      <c r="N7" s="72"/>
      <c r="O7" s="69"/>
      <c r="P7" s="71" t="s">
        <v>329</v>
      </c>
      <c r="Q7" s="71"/>
      <c r="R7" s="72"/>
      <c r="S7" s="72"/>
      <c r="T7" s="72"/>
      <c r="U7" s="72"/>
      <c r="V7" s="69"/>
      <c r="W7" s="71" t="s">
        <v>329</v>
      </c>
      <c r="X7" s="71"/>
      <c r="Y7" s="72"/>
      <c r="Z7" s="72"/>
      <c r="AA7" s="72"/>
      <c r="AB7" s="72"/>
      <c r="AC7" s="69"/>
      <c r="AE7" s="79"/>
      <c r="AF7" s="79"/>
      <c r="AG7" s="79"/>
      <c r="AH7" s="80"/>
    </row>
    <row r="8" spans="1:34" ht="15" customHeight="1" x14ac:dyDescent="0.3">
      <c r="A8" s="69"/>
      <c r="B8" s="71" t="s">
        <v>330</v>
      </c>
      <c r="C8" s="71"/>
      <c r="D8" s="72"/>
      <c r="E8" s="72"/>
      <c r="F8" s="72"/>
      <c r="G8" s="72"/>
      <c r="H8" s="69"/>
      <c r="I8" s="71" t="s">
        <v>330</v>
      </c>
      <c r="J8" s="71"/>
      <c r="K8" s="72"/>
      <c r="L8" s="72"/>
      <c r="M8" s="72"/>
      <c r="N8" s="72"/>
      <c r="O8" s="69"/>
      <c r="P8" s="71" t="s">
        <v>330</v>
      </c>
      <c r="Q8" s="71"/>
      <c r="R8" s="72"/>
      <c r="S8" s="72"/>
      <c r="T8" s="72"/>
      <c r="U8" s="72"/>
      <c r="V8" s="69"/>
      <c r="W8" s="71" t="s">
        <v>330</v>
      </c>
      <c r="X8" s="71"/>
      <c r="Y8" s="72"/>
      <c r="Z8" s="72"/>
      <c r="AA8" s="72"/>
      <c r="AB8" s="72"/>
      <c r="AC8" s="69"/>
      <c r="AE8" s="79"/>
      <c r="AF8" s="79"/>
      <c r="AG8" s="79"/>
      <c r="AH8" s="80"/>
    </row>
    <row r="9" spans="1:34" ht="15" customHeight="1" x14ac:dyDescent="0.3">
      <c r="A9" s="69"/>
      <c r="B9" s="71" t="s">
        <v>331</v>
      </c>
      <c r="C9" s="71"/>
      <c r="D9" s="72"/>
      <c r="E9" s="72"/>
      <c r="F9" s="72"/>
      <c r="G9" s="72"/>
      <c r="H9" s="69"/>
      <c r="I9" s="71" t="s">
        <v>331</v>
      </c>
      <c r="J9" s="71"/>
      <c r="K9" s="72"/>
      <c r="L9" s="72"/>
      <c r="M9" s="72"/>
      <c r="N9" s="72"/>
      <c r="O9" s="69"/>
      <c r="P9" s="71" t="s">
        <v>331</v>
      </c>
      <c r="Q9" s="71"/>
      <c r="R9" s="72"/>
      <c r="S9" s="72"/>
      <c r="T9" s="72"/>
      <c r="U9" s="72"/>
      <c r="V9" s="69"/>
      <c r="W9" s="71" t="s">
        <v>331</v>
      </c>
      <c r="X9" s="71"/>
      <c r="Y9" s="72"/>
      <c r="Z9" s="72"/>
      <c r="AA9" s="72"/>
      <c r="AB9" s="72"/>
      <c r="AC9" s="69"/>
      <c r="AE9" s="79"/>
      <c r="AF9" s="79"/>
      <c r="AG9" s="79"/>
      <c r="AH9" s="80"/>
    </row>
    <row r="10" spans="1:34" ht="15" customHeight="1" x14ac:dyDescent="0.3">
      <c r="A10" s="69"/>
      <c r="B10" s="71" t="s">
        <v>331</v>
      </c>
      <c r="C10" s="71">
        <v>1</v>
      </c>
      <c r="D10" s="72">
        <v>1</v>
      </c>
      <c r="E10" s="72">
        <v>1</v>
      </c>
      <c r="F10" s="72">
        <v>1</v>
      </c>
      <c r="G10" s="72">
        <v>1</v>
      </c>
      <c r="H10" s="69"/>
      <c r="I10" s="71" t="s">
        <v>331</v>
      </c>
      <c r="J10" s="71">
        <v>1</v>
      </c>
      <c r="K10" s="72">
        <v>2</v>
      </c>
      <c r="L10" s="72">
        <v>2</v>
      </c>
      <c r="M10" s="72">
        <v>2</v>
      </c>
      <c r="N10" s="72">
        <v>1</v>
      </c>
      <c r="O10" s="69"/>
      <c r="P10" s="71" t="s">
        <v>331</v>
      </c>
      <c r="Q10" s="71">
        <v>1</v>
      </c>
      <c r="R10" s="72">
        <v>3</v>
      </c>
      <c r="S10" s="72">
        <v>3</v>
      </c>
      <c r="T10" s="72">
        <v>2</v>
      </c>
      <c r="U10" s="72">
        <v>1</v>
      </c>
      <c r="V10" s="69"/>
      <c r="W10" s="71" t="s">
        <v>331</v>
      </c>
      <c r="X10" s="71">
        <v>1</v>
      </c>
      <c r="Y10" s="72">
        <v>4</v>
      </c>
      <c r="Z10" s="72">
        <v>4</v>
      </c>
      <c r="AA10" s="72">
        <v>2</v>
      </c>
      <c r="AB10" s="72">
        <v>1</v>
      </c>
      <c r="AC10" s="69"/>
      <c r="AE10" s="79"/>
      <c r="AF10" s="79"/>
      <c r="AG10" s="79"/>
      <c r="AH10" s="81"/>
    </row>
    <row r="11" spans="1:34" ht="15" customHeight="1" x14ac:dyDescent="0.3">
      <c r="A11" s="69"/>
      <c r="B11" s="73"/>
      <c r="C11" s="73"/>
      <c r="D11" s="71">
        <v>1</v>
      </c>
      <c r="E11" s="71">
        <v>2</v>
      </c>
      <c r="F11" s="71">
        <v>3</v>
      </c>
      <c r="G11" s="71">
        <v>4</v>
      </c>
      <c r="H11" s="69"/>
      <c r="I11" s="69"/>
      <c r="J11" s="73"/>
      <c r="K11" s="71">
        <v>1</v>
      </c>
      <c r="L11" s="71">
        <v>2</v>
      </c>
      <c r="M11" s="71">
        <v>3</v>
      </c>
      <c r="N11" s="71">
        <v>4</v>
      </c>
      <c r="O11" s="69"/>
      <c r="P11" s="69"/>
      <c r="Q11" s="73"/>
      <c r="R11" s="71">
        <v>1</v>
      </c>
      <c r="S11" s="71">
        <v>2</v>
      </c>
      <c r="T11" s="71">
        <v>3</v>
      </c>
      <c r="U11" s="71">
        <v>4</v>
      </c>
      <c r="V11" s="69"/>
      <c r="W11" s="69"/>
      <c r="X11" s="73"/>
      <c r="Y11" s="71">
        <v>1</v>
      </c>
      <c r="Z11" s="71">
        <v>2</v>
      </c>
      <c r="AA11" s="71">
        <v>3</v>
      </c>
      <c r="AB11" s="71">
        <v>4</v>
      </c>
      <c r="AC11" s="69"/>
      <c r="AE11" s="79"/>
      <c r="AF11" s="79"/>
      <c r="AG11" s="79"/>
      <c r="AH11" s="81"/>
    </row>
    <row r="12" spans="1:34" ht="15" customHeight="1" x14ac:dyDescent="0.3">
      <c r="A12" s="69"/>
      <c r="B12" s="73"/>
      <c r="C12" s="73"/>
      <c r="D12" s="71" t="s">
        <v>323</v>
      </c>
      <c r="E12" s="71" t="s">
        <v>332</v>
      </c>
      <c r="F12" s="71" t="s">
        <v>333</v>
      </c>
      <c r="G12" s="71" t="s">
        <v>334</v>
      </c>
      <c r="H12" s="69"/>
      <c r="I12" s="69"/>
      <c r="J12" s="73"/>
      <c r="K12" s="71" t="s">
        <v>323</v>
      </c>
      <c r="L12" s="71" t="s">
        <v>332</v>
      </c>
      <c r="M12" s="71" t="s">
        <v>333</v>
      </c>
      <c r="N12" s="71" t="s">
        <v>334</v>
      </c>
      <c r="O12" s="69"/>
      <c r="P12" s="69"/>
      <c r="Q12" s="73"/>
      <c r="R12" s="71" t="s">
        <v>323</v>
      </c>
      <c r="S12" s="71" t="s">
        <v>332</v>
      </c>
      <c r="T12" s="71" t="s">
        <v>333</v>
      </c>
      <c r="U12" s="71" t="s">
        <v>334</v>
      </c>
      <c r="V12" s="69"/>
      <c r="W12" s="69"/>
      <c r="X12" s="73"/>
      <c r="Y12" s="71" t="s">
        <v>323</v>
      </c>
      <c r="Z12" s="71" t="s">
        <v>332</v>
      </c>
      <c r="AA12" s="71" t="s">
        <v>333</v>
      </c>
      <c r="AB12" s="71" t="s">
        <v>334</v>
      </c>
      <c r="AC12" s="69"/>
      <c r="AE12" s="79"/>
      <c r="AF12" s="79"/>
      <c r="AG12" s="79"/>
      <c r="AH12" s="81"/>
    </row>
    <row r="13" spans="1:34" ht="15" x14ac:dyDescent="0.3">
      <c r="B13" s="67"/>
      <c r="AE13" s="79"/>
      <c r="AF13" s="79"/>
      <c r="AG13" s="79"/>
      <c r="AH13" s="81"/>
    </row>
    <row r="14" spans="1:34" ht="19.5" x14ac:dyDescent="0.4">
      <c r="A14" s="68" t="s">
        <v>806</v>
      </c>
      <c r="B14" s="67"/>
      <c r="AE14" s="79"/>
      <c r="AF14" s="79"/>
      <c r="AG14" s="79"/>
      <c r="AH14" s="81"/>
    </row>
    <row r="15" spans="1:34" ht="3" customHeight="1" x14ac:dyDescent="0.3">
      <c r="B15" s="67"/>
      <c r="AE15" s="79"/>
      <c r="AF15" s="79"/>
      <c r="AG15" s="79"/>
      <c r="AH15" s="80"/>
    </row>
    <row r="16" spans="1:34" ht="12" customHeight="1" x14ac:dyDescent="0.3">
      <c r="A16" s="69"/>
      <c r="B16" s="73"/>
      <c r="C16" s="306" t="s">
        <v>325</v>
      </c>
      <c r="D16" s="306"/>
      <c r="E16" s="306"/>
      <c r="F16" s="306"/>
      <c r="G16" s="306"/>
      <c r="H16" s="69"/>
      <c r="I16" s="69"/>
      <c r="J16" s="306" t="s">
        <v>326</v>
      </c>
      <c r="K16" s="306"/>
      <c r="L16" s="306"/>
      <c r="M16" s="306"/>
      <c r="N16" s="306"/>
      <c r="O16" s="69"/>
      <c r="P16" s="69"/>
      <c r="Q16" s="306" t="s">
        <v>327</v>
      </c>
      <c r="R16" s="306"/>
      <c r="S16" s="306"/>
      <c r="T16" s="306"/>
      <c r="U16" s="306"/>
      <c r="V16" s="69"/>
      <c r="W16" s="69"/>
      <c r="X16" s="306" t="s">
        <v>328</v>
      </c>
      <c r="Y16" s="306"/>
      <c r="Z16" s="306"/>
      <c r="AA16" s="306"/>
      <c r="AB16" s="306"/>
      <c r="AC16" s="69"/>
      <c r="AE16" s="79"/>
      <c r="AF16" s="79"/>
      <c r="AG16" s="79"/>
      <c r="AH16" s="80"/>
    </row>
    <row r="17" spans="1:34" ht="3" customHeight="1" x14ac:dyDescent="0.3">
      <c r="B17" s="67"/>
      <c r="J17" s="67"/>
      <c r="K17" s="67"/>
      <c r="L17" s="67"/>
      <c r="M17" s="67"/>
      <c r="N17" s="67"/>
      <c r="Q17" s="67"/>
      <c r="R17" s="67"/>
      <c r="S17" s="67"/>
      <c r="T17" s="67"/>
      <c r="U17" s="67"/>
      <c r="X17" s="67"/>
      <c r="Y17" s="67"/>
      <c r="Z17" s="67"/>
      <c r="AA17" s="67"/>
      <c r="AB17" s="67"/>
      <c r="AE17" s="79"/>
      <c r="AF17" s="79"/>
      <c r="AG17" s="79"/>
      <c r="AH17" s="81"/>
    </row>
    <row r="18" spans="1:34" ht="15" customHeight="1" x14ac:dyDescent="0.3">
      <c r="A18" s="69"/>
      <c r="B18" s="71" t="s">
        <v>329</v>
      </c>
      <c r="C18" s="71"/>
      <c r="D18" s="72"/>
      <c r="E18" s="72"/>
      <c r="F18" s="72"/>
      <c r="G18" s="72"/>
      <c r="H18" s="69"/>
      <c r="I18" s="71" t="s">
        <v>329</v>
      </c>
      <c r="J18" s="71"/>
      <c r="K18" s="72"/>
      <c r="L18" s="72"/>
      <c r="M18" s="72"/>
      <c r="N18" s="72"/>
      <c r="O18" s="69"/>
      <c r="P18" s="71" t="s">
        <v>329</v>
      </c>
      <c r="Q18" s="71"/>
      <c r="R18" s="72"/>
      <c r="S18" s="72"/>
      <c r="T18" s="72"/>
      <c r="U18" s="72"/>
      <c r="V18" s="69"/>
      <c r="W18" s="71" t="s">
        <v>329</v>
      </c>
      <c r="X18" s="71"/>
      <c r="Y18" s="72"/>
      <c r="Z18" s="72"/>
      <c r="AA18" s="72"/>
      <c r="AB18" s="72"/>
      <c r="AC18" s="69"/>
      <c r="AE18" s="79"/>
      <c r="AF18" s="79"/>
      <c r="AG18" s="79"/>
      <c r="AH18" s="81"/>
    </row>
    <row r="19" spans="1:34" ht="15" customHeight="1" x14ac:dyDescent="0.3">
      <c r="A19" s="69"/>
      <c r="B19" s="71" t="s">
        <v>330</v>
      </c>
      <c r="C19" s="71"/>
      <c r="D19" s="72"/>
      <c r="E19" s="72"/>
      <c r="F19" s="72"/>
      <c r="G19" s="72"/>
      <c r="H19" s="69"/>
      <c r="I19" s="71" t="s">
        <v>330</v>
      </c>
      <c r="J19" s="71"/>
      <c r="K19" s="72"/>
      <c r="L19" s="72"/>
      <c r="M19" s="72"/>
      <c r="N19" s="72"/>
      <c r="O19" s="69"/>
      <c r="P19" s="71" t="s">
        <v>330</v>
      </c>
      <c r="Q19" s="71"/>
      <c r="R19" s="72"/>
      <c r="S19" s="72"/>
      <c r="T19" s="72"/>
      <c r="U19" s="72"/>
      <c r="V19" s="69"/>
      <c r="W19" s="71" t="s">
        <v>330</v>
      </c>
      <c r="X19" s="71"/>
      <c r="Y19" s="72"/>
      <c r="Z19" s="72"/>
      <c r="AA19" s="72"/>
      <c r="AB19" s="72"/>
      <c r="AC19" s="69"/>
      <c r="AE19" s="79"/>
      <c r="AF19" s="79"/>
      <c r="AG19" s="79"/>
      <c r="AH19" s="80"/>
    </row>
    <row r="20" spans="1:34" ht="15" customHeight="1" x14ac:dyDescent="0.3">
      <c r="A20" s="69"/>
      <c r="B20" s="71" t="s">
        <v>331</v>
      </c>
      <c r="C20" s="71"/>
      <c r="D20" s="72"/>
      <c r="E20" s="72"/>
      <c r="F20" s="72"/>
      <c r="G20" s="72"/>
      <c r="H20" s="69"/>
      <c r="I20" s="71" t="s">
        <v>331</v>
      </c>
      <c r="J20" s="71"/>
      <c r="K20" s="72"/>
      <c r="L20" s="72"/>
      <c r="M20" s="72"/>
      <c r="N20" s="72"/>
      <c r="O20" s="69"/>
      <c r="P20" s="71" t="s">
        <v>331</v>
      </c>
      <c r="Q20" s="71"/>
      <c r="R20" s="72"/>
      <c r="S20" s="72"/>
      <c r="T20" s="72"/>
      <c r="U20" s="72"/>
      <c r="V20" s="69"/>
      <c r="W20" s="71" t="s">
        <v>331</v>
      </c>
      <c r="X20" s="71"/>
      <c r="Y20" s="72"/>
      <c r="Z20" s="72"/>
      <c r="AA20" s="72"/>
      <c r="AB20" s="72"/>
      <c r="AC20" s="69"/>
      <c r="AE20" s="79"/>
      <c r="AF20" s="79"/>
      <c r="AG20" s="79"/>
      <c r="AH20" s="80"/>
    </row>
    <row r="21" spans="1:34" ht="15" customHeight="1" x14ac:dyDescent="0.3">
      <c r="A21" s="69"/>
      <c r="B21" s="71" t="s">
        <v>331</v>
      </c>
      <c r="C21" s="71">
        <v>1</v>
      </c>
      <c r="D21" s="72">
        <v>1</v>
      </c>
      <c r="E21" s="72">
        <v>1</v>
      </c>
      <c r="F21" s="72">
        <v>1</v>
      </c>
      <c r="G21" s="72">
        <v>1</v>
      </c>
      <c r="H21" s="69"/>
      <c r="I21" s="71" t="s">
        <v>331</v>
      </c>
      <c r="J21" s="71">
        <v>1</v>
      </c>
      <c r="K21" s="72">
        <v>2</v>
      </c>
      <c r="L21" s="72">
        <v>2</v>
      </c>
      <c r="M21" s="72">
        <v>2</v>
      </c>
      <c r="N21" s="72">
        <v>1</v>
      </c>
      <c r="O21" s="69"/>
      <c r="P21" s="71" t="s">
        <v>331</v>
      </c>
      <c r="Q21" s="71">
        <v>1</v>
      </c>
      <c r="R21" s="72">
        <v>3</v>
      </c>
      <c r="S21" s="72">
        <v>3</v>
      </c>
      <c r="T21" s="72">
        <v>2</v>
      </c>
      <c r="U21" s="72">
        <v>1</v>
      </c>
      <c r="V21" s="69"/>
      <c r="W21" s="71" t="s">
        <v>331</v>
      </c>
      <c r="X21" s="71">
        <v>1</v>
      </c>
      <c r="Y21" s="72">
        <v>4</v>
      </c>
      <c r="Z21" s="72">
        <v>4</v>
      </c>
      <c r="AA21" s="72">
        <v>2</v>
      </c>
      <c r="AB21" s="72">
        <v>1</v>
      </c>
      <c r="AC21" s="69"/>
      <c r="AE21" s="79"/>
      <c r="AF21" s="79"/>
      <c r="AG21" s="79"/>
      <c r="AH21" s="81"/>
    </row>
    <row r="22" spans="1:34" ht="15" customHeight="1" x14ac:dyDescent="0.3">
      <c r="A22" s="69"/>
      <c r="B22" s="73"/>
      <c r="C22" s="73"/>
      <c r="D22" s="71">
        <v>1</v>
      </c>
      <c r="E22" s="71">
        <v>2</v>
      </c>
      <c r="F22" s="71">
        <v>3</v>
      </c>
      <c r="G22" s="71">
        <v>4</v>
      </c>
      <c r="H22" s="69"/>
      <c r="I22" s="69"/>
      <c r="J22" s="73"/>
      <c r="K22" s="71">
        <v>1</v>
      </c>
      <c r="L22" s="71">
        <v>2</v>
      </c>
      <c r="M22" s="71">
        <v>3</v>
      </c>
      <c r="N22" s="71">
        <v>4</v>
      </c>
      <c r="O22" s="69"/>
      <c r="P22" s="69"/>
      <c r="Q22" s="73"/>
      <c r="R22" s="71">
        <v>1</v>
      </c>
      <c r="S22" s="71">
        <v>2</v>
      </c>
      <c r="T22" s="71">
        <v>3</v>
      </c>
      <c r="U22" s="71">
        <v>4</v>
      </c>
      <c r="V22" s="69"/>
      <c r="W22" s="69"/>
      <c r="X22" s="73"/>
      <c r="Y22" s="71">
        <v>1</v>
      </c>
      <c r="Z22" s="71">
        <v>2</v>
      </c>
      <c r="AA22" s="71">
        <v>3</v>
      </c>
      <c r="AB22" s="71">
        <v>4</v>
      </c>
      <c r="AC22" s="69"/>
      <c r="AE22" s="79"/>
      <c r="AF22" s="79"/>
      <c r="AG22" s="79"/>
      <c r="AH22" s="81"/>
    </row>
    <row r="23" spans="1:34" ht="15" customHeight="1" x14ac:dyDescent="0.3">
      <c r="A23" s="69"/>
      <c r="B23" s="73"/>
      <c r="C23" s="73"/>
      <c r="D23" s="71" t="s">
        <v>323</v>
      </c>
      <c r="E23" s="71" t="s">
        <v>332</v>
      </c>
      <c r="F23" s="71" t="s">
        <v>333</v>
      </c>
      <c r="G23" s="71" t="s">
        <v>334</v>
      </c>
      <c r="H23" s="69"/>
      <c r="I23" s="69"/>
      <c r="J23" s="73"/>
      <c r="K23" s="71" t="s">
        <v>323</v>
      </c>
      <c r="L23" s="71" t="s">
        <v>332</v>
      </c>
      <c r="M23" s="71" t="s">
        <v>333</v>
      </c>
      <c r="N23" s="71" t="s">
        <v>334</v>
      </c>
      <c r="O23" s="69"/>
      <c r="P23" s="69"/>
      <c r="Q23" s="73"/>
      <c r="R23" s="71" t="s">
        <v>323</v>
      </c>
      <c r="S23" s="71" t="s">
        <v>332</v>
      </c>
      <c r="T23" s="71" t="s">
        <v>333</v>
      </c>
      <c r="U23" s="71" t="s">
        <v>334</v>
      </c>
      <c r="V23" s="69"/>
      <c r="W23" s="69"/>
      <c r="X23" s="73"/>
      <c r="Y23" s="71" t="s">
        <v>323</v>
      </c>
      <c r="Z23" s="71" t="s">
        <v>332</v>
      </c>
      <c r="AA23" s="71" t="s">
        <v>333</v>
      </c>
      <c r="AB23" s="71" t="s">
        <v>334</v>
      </c>
      <c r="AC23" s="69"/>
      <c r="AE23" s="79"/>
      <c r="AF23" s="79"/>
      <c r="AG23" s="79"/>
      <c r="AH23" s="81"/>
    </row>
    <row r="24" spans="1:34" ht="15" x14ac:dyDescent="0.3">
      <c r="B24" s="67"/>
      <c r="AE24" s="79"/>
      <c r="AF24" s="79"/>
      <c r="AG24" s="79"/>
      <c r="AH24" s="81"/>
    </row>
    <row r="25" spans="1:34" ht="19.5" x14ac:dyDescent="0.4">
      <c r="A25" s="68" t="s">
        <v>809</v>
      </c>
      <c r="B25" s="67"/>
      <c r="AE25" s="79"/>
      <c r="AF25" s="79"/>
      <c r="AG25" s="79"/>
      <c r="AH25" s="81"/>
    </row>
    <row r="26" spans="1:34" ht="2.25" customHeight="1" x14ac:dyDescent="0.3">
      <c r="B26" s="67"/>
      <c r="AE26" s="79"/>
      <c r="AF26" s="79"/>
      <c r="AG26" s="79"/>
      <c r="AH26" s="81"/>
    </row>
    <row r="27" spans="1:34" ht="12" customHeight="1" x14ac:dyDescent="0.3">
      <c r="A27" s="69"/>
      <c r="B27" s="73"/>
      <c r="C27" s="306" t="s">
        <v>325</v>
      </c>
      <c r="D27" s="306"/>
      <c r="E27" s="306"/>
      <c r="F27" s="306"/>
      <c r="G27" s="306"/>
      <c r="H27" s="69"/>
      <c r="I27" s="69"/>
      <c r="J27" s="306" t="s">
        <v>326</v>
      </c>
      <c r="K27" s="306"/>
      <c r="L27" s="306"/>
      <c r="M27" s="306"/>
      <c r="N27" s="306"/>
      <c r="O27" s="69"/>
      <c r="P27" s="69"/>
      <c r="Q27" s="306" t="s">
        <v>327</v>
      </c>
      <c r="R27" s="306"/>
      <c r="S27" s="306"/>
      <c r="T27" s="306"/>
      <c r="U27" s="306"/>
      <c r="V27" s="69"/>
      <c r="W27" s="69"/>
      <c r="X27" s="306" t="s">
        <v>328</v>
      </c>
      <c r="Y27" s="306"/>
      <c r="Z27" s="306"/>
      <c r="AA27" s="306"/>
      <c r="AB27" s="306"/>
      <c r="AC27" s="69"/>
      <c r="AE27" s="79"/>
      <c r="AF27" s="79"/>
      <c r="AG27" s="79"/>
      <c r="AH27" s="81"/>
    </row>
    <row r="28" spans="1:34" ht="3.75" customHeight="1" x14ac:dyDescent="0.3">
      <c r="B28" s="67"/>
      <c r="J28" s="67"/>
      <c r="K28" s="67"/>
      <c r="L28" s="67"/>
      <c r="M28" s="67"/>
      <c r="N28" s="67"/>
      <c r="Q28" s="67"/>
      <c r="R28" s="67"/>
      <c r="S28" s="67"/>
      <c r="T28" s="67"/>
      <c r="U28" s="67"/>
      <c r="X28" s="67"/>
      <c r="Y28" s="67"/>
      <c r="Z28" s="67"/>
      <c r="AA28" s="67"/>
      <c r="AB28" s="67"/>
      <c r="AE28" s="79"/>
      <c r="AF28" s="79"/>
      <c r="AG28" s="79"/>
      <c r="AH28" s="81"/>
    </row>
    <row r="29" spans="1:34" ht="15" customHeight="1" x14ac:dyDescent="0.3">
      <c r="A29" s="69"/>
      <c r="B29" s="71" t="s">
        <v>329</v>
      </c>
      <c r="C29" s="71">
        <v>4</v>
      </c>
      <c r="D29" s="72">
        <v>1</v>
      </c>
      <c r="E29" s="72">
        <v>1</v>
      </c>
      <c r="F29" s="72">
        <v>1</v>
      </c>
      <c r="G29" s="72">
        <v>1</v>
      </c>
      <c r="H29" s="69"/>
      <c r="I29" s="71" t="s">
        <v>329</v>
      </c>
      <c r="J29" s="71">
        <v>4</v>
      </c>
      <c r="K29" s="72">
        <v>1</v>
      </c>
      <c r="L29" s="72">
        <v>1</v>
      </c>
      <c r="M29" s="72">
        <v>1</v>
      </c>
      <c r="N29" s="72">
        <v>1</v>
      </c>
      <c r="O29" s="69"/>
      <c r="P29" s="71" t="s">
        <v>329</v>
      </c>
      <c r="Q29" s="71">
        <v>4</v>
      </c>
      <c r="R29" s="72">
        <v>2</v>
      </c>
      <c r="S29" s="72">
        <v>2</v>
      </c>
      <c r="T29" s="72">
        <v>1</v>
      </c>
      <c r="U29" s="72">
        <v>1</v>
      </c>
      <c r="V29" s="69"/>
      <c r="W29" s="71" t="s">
        <v>329</v>
      </c>
      <c r="X29" s="71">
        <v>4</v>
      </c>
      <c r="Y29" s="72">
        <v>2</v>
      </c>
      <c r="Z29" s="72">
        <v>2</v>
      </c>
      <c r="AA29" s="72">
        <v>2</v>
      </c>
      <c r="AB29" s="72">
        <v>1</v>
      </c>
      <c r="AC29" s="69"/>
      <c r="AE29" s="79"/>
      <c r="AF29" s="79"/>
      <c r="AG29" s="79"/>
      <c r="AH29" s="81"/>
    </row>
    <row r="30" spans="1:34" ht="15" customHeight="1" x14ac:dyDescent="0.3">
      <c r="A30" s="69"/>
      <c r="B30" s="71" t="s">
        <v>330</v>
      </c>
      <c r="C30" s="71">
        <v>3</v>
      </c>
      <c r="D30" s="72">
        <v>1</v>
      </c>
      <c r="E30" s="72">
        <v>1</v>
      </c>
      <c r="F30" s="72">
        <v>1</v>
      </c>
      <c r="G30" s="72">
        <v>1</v>
      </c>
      <c r="H30" s="69"/>
      <c r="I30" s="71" t="s">
        <v>330</v>
      </c>
      <c r="J30" s="71">
        <v>3</v>
      </c>
      <c r="K30" s="72">
        <v>2</v>
      </c>
      <c r="L30" s="72">
        <v>2</v>
      </c>
      <c r="M30" s="72">
        <v>1</v>
      </c>
      <c r="N30" s="72">
        <v>1</v>
      </c>
      <c r="O30" s="69"/>
      <c r="P30" s="71" t="s">
        <v>330</v>
      </c>
      <c r="Q30" s="71">
        <v>3</v>
      </c>
      <c r="R30" s="72">
        <v>2</v>
      </c>
      <c r="S30" s="72">
        <v>2</v>
      </c>
      <c r="T30" s="72">
        <v>1</v>
      </c>
      <c r="U30" s="72">
        <v>1</v>
      </c>
      <c r="V30" s="69"/>
      <c r="W30" s="71" t="s">
        <v>330</v>
      </c>
      <c r="X30" s="71">
        <v>3</v>
      </c>
      <c r="Y30" s="72">
        <v>3</v>
      </c>
      <c r="Z30" s="72">
        <v>3</v>
      </c>
      <c r="AA30" s="72">
        <v>2</v>
      </c>
      <c r="AB30" s="72">
        <v>2</v>
      </c>
      <c r="AC30" s="69"/>
      <c r="AE30" s="79"/>
      <c r="AF30" s="79"/>
      <c r="AG30" s="79"/>
      <c r="AH30" s="81"/>
    </row>
    <row r="31" spans="1:34" ht="15" customHeight="1" x14ac:dyDescent="0.3">
      <c r="A31" s="69"/>
      <c r="B31" s="71" t="s">
        <v>331</v>
      </c>
      <c r="C31" s="71">
        <v>2</v>
      </c>
      <c r="D31" s="72">
        <v>1</v>
      </c>
      <c r="E31" s="72">
        <v>1</v>
      </c>
      <c r="F31" s="72">
        <v>1</v>
      </c>
      <c r="G31" s="72">
        <v>1</v>
      </c>
      <c r="H31" s="69"/>
      <c r="I31" s="71" t="s">
        <v>331</v>
      </c>
      <c r="J31" s="71">
        <v>2</v>
      </c>
      <c r="K31" s="72">
        <v>2</v>
      </c>
      <c r="L31" s="72">
        <v>2</v>
      </c>
      <c r="M31" s="72">
        <v>2</v>
      </c>
      <c r="N31" s="72">
        <v>1</v>
      </c>
      <c r="O31" s="69"/>
      <c r="P31" s="71" t="s">
        <v>331</v>
      </c>
      <c r="Q31" s="71">
        <v>2</v>
      </c>
      <c r="R31" s="72">
        <v>3</v>
      </c>
      <c r="S31" s="72">
        <v>3</v>
      </c>
      <c r="T31" s="72">
        <v>2</v>
      </c>
      <c r="U31" s="72">
        <v>1</v>
      </c>
      <c r="V31" s="69"/>
      <c r="W31" s="71" t="s">
        <v>331</v>
      </c>
      <c r="X31" s="71">
        <v>2</v>
      </c>
      <c r="Y31" s="72">
        <v>4</v>
      </c>
      <c r="Z31" s="72">
        <v>4</v>
      </c>
      <c r="AA31" s="72">
        <v>3</v>
      </c>
      <c r="AB31" s="72">
        <v>2</v>
      </c>
      <c r="AC31" s="69"/>
    </row>
    <row r="32" spans="1:34" ht="15" customHeight="1" x14ac:dyDescent="0.3">
      <c r="A32" s="69"/>
      <c r="B32" s="71" t="s">
        <v>331</v>
      </c>
      <c r="C32" s="71">
        <v>1</v>
      </c>
      <c r="D32" s="72">
        <v>1</v>
      </c>
      <c r="E32" s="72">
        <v>1</v>
      </c>
      <c r="F32" s="72">
        <v>1</v>
      </c>
      <c r="G32" s="72">
        <v>1</v>
      </c>
      <c r="H32" s="69"/>
      <c r="I32" s="71" t="s">
        <v>331</v>
      </c>
      <c r="J32" s="71">
        <v>1</v>
      </c>
      <c r="K32" s="72">
        <v>2</v>
      </c>
      <c r="L32" s="72">
        <v>2</v>
      </c>
      <c r="M32" s="72">
        <v>2</v>
      </c>
      <c r="N32" s="72">
        <v>1</v>
      </c>
      <c r="O32" s="69"/>
      <c r="P32" s="71" t="s">
        <v>331</v>
      </c>
      <c r="Q32" s="71">
        <v>1</v>
      </c>
      <c r="R32" s="72">
        <v>3</v>
      </c>
      <c r="S32" s="72">
        <v>3</v>
      </c>
      <c r="T32" s="72">
        <v>2</v>
      </c>
      <c r="U32" s="72">
        <v>1</v>
      </c>
      <c r="V32" s="69"/>
      <c r="W32" s="71" t="s">
        <v>331</v>
      </c>
      <c r="X32" s="71">
        <v>1</v>
      </c>
      <c r="Y32" s="72">
        <v>4</v>
      </c>
      <c r="Z32" s="72">
        <v>4</v>
      </c>
      <c r="AA32" s="72">
        <v>3</v>
      </c>
      <c r="AB32" s="72">
        <v>2</v>
      </c>
      <c r="AC32" s="69"/>
    </row>
    <row r="33" spans="1:37" ht="15" customHeight="1" x14ac:dyDescent="0.3">
      <c r="A33" s="69"/>
      <c r="B33" s="73"/>
      <c r="C33" s="73"/>
      <c r="D33" s="71">
        <v>1</v>
      </c>
      <c r="E33" s="71">
        <v>2</v>
      </c>
      <c r="F33" s="71">
        <v>3</v>
      </c>
      <c r="G33" s="71">
        <v>4</v>
      </c>
      <c r="H33" s="69"/>
      <c r="I33" s="69"/>
      <c r="J33" s="73"/>
      <c r="K33" s="71">
        <v>1</v>
      </c>
      <c r="L33" s="71">
        <v>2</v>
      </c>
      <c r="M33" s="71">
        <v>3</v>
      </c>
      <c r="N33" s="71">
        <v>4</v>
      </c>
      <c r="O33" s="69"/>
      <c r="P33" s="69"/>
      <c r="Q33" s="73"/>
      <c r="R33" s="71">
        <v>1</v>
      </c>
      <c r="S33" s="71">
        <v>2</v>
      </c>
      <c r="T33" s="71">
        <v>3</v>
      </c>
      <c r="U33" s="71">
        <v>4</v>
      </c>
      <c r="V33" s="69"/>
      <c r="W33" s="69"/>
      <c r="X33" s="73"/>
      <c r="Y33" s="71">
        <v>1</v>
      </c>
      <c r="Z33" s="71">
        <v>2</v>
      </c>
      <c r="AA33" s="71">
        <v>3</v>
      </c>
      <c r="AB33" s="71">
        <v>4</v>
      </c>
      <c r="AC33" s="69"/>
    </row>
    <row r="34" spans="1:37" ht="15" customHeight="1" x14ac:dyDescent="0.3">
      <c r="A34" s="69"/>
      <c r="B34" s="73"/>
      <c r="C34" s="73"/>
      <c r="D34" s="71" t="s">
        <v>323</v>
      </c>
      <c r="E34" s="71" t="s">
        <v>332</v>
      </c>
      <c r="F34" s="71" t="s">
        <v>333</v>
      </c>
      <c r="G34" s="71" t="s">
        <v>334</v>
      </c>
      <c r="H34" s="69"/>
      <c r="I34" s="69"/>
      <c r="J34" s="73"/>
      <c r="K34" s="71" t="s">
        <v>323</v>
      </c>
      <c r="L34" s="71" t="s">
        <v>332</v>
      </c>
      <c r="M34" s="71" t="s">
        <v>333</v>
      </c>
      <c r="N34" s="71" t="s">
        <v>334</v>
      </c>
      <c r="O34" s="69"/>
      <c r="P34" s="69"/>
      <c r="Q34" s="73"/>
      <c r="R34" s="71" t="s">
        <v>323</v>
      </c>
      <c r="S34" s="71" t="s">
        <v>332</v>
      </c>
      <c r="T34" s="71" t="s">
        <v>333</v>
      </c>
      <c r="U34" s="71" t="s">
        <v>334</v>
      </c>
      <c r="V34" s="69"/>
      <c r="W34" s="69"/>
      <c r="X34" s="73"/>
      <c r="Y34" s="71" t="s">
        <v>323</v>
      </c>
      <c r="Z34" s="71" t="s">
        <v>332</v>
      </c>
      <c r="AA34" s="71" t="s">
        <v>333</v>
      </c>
      <c r="AB34" s="71" t="s">
        <v>334</v>
      </c>
      <c r="AC34" s="69"/>
    </row>
    <row r="35" spans="1:37" ht="3" customHeight="1" x14ac:dyDescent="0.2"/>
    <row r="36" spans="1:37" ht="22.5" x14ac:dyDescent="0.45">
      <c r="A36" s="65" t="s">
        <v>338</v>
      </c>
    </row>
    <row r="37" spans="1:37" ht="17.25" customHeight="1" x14ac:dyDescent="0.4">
      <c r="A37" s="68" t="s">
        <v>337</v>
      </c>
    </row>
    <row r="38" spans="1:37" ht="3" customHeight="1" x14ac:dyDescent="0.2"/>
    <row r="39" spans="1:37" ht="12" customHeight="1" x14ac:dyDescent="0.3">
      <c r="A39" s="69"/>
      <c r="B39" s="69"/>
      <c r="C39" s="306" t="s">
        <v>317</v>
      </c>
      <c r="D39" s="306"/>
      <c r="E39" s="306"/>
      <c r="F39" s="306"/>
      <c r="G39" s="306"/>
      <c r="H39" s="69"/>
      <c r="I39" s="69"/>
      <c r="J39" s="306" t="s">
        <v>318</v>
      </c>
      <c r="K39" s="306"/>
      <c r="L39" s="306"/>
      <c r="M39" s="306"/>
      <c r="N39" s="306"/>
      <c r="O39" s="69"/>
      <c r="P39" s="69"/>
      <c r="Q39" s="306" t="s">
        <v>319</v>
      </c>
      <c r="R39" s="306"/>
      <c r="S39" s="306"/>
      <c r="T39" s="306"/>
      <c r="U39" s="306"/>
      <c r="V39" s="69"/>
      <c r="W39" s="69"/>
      <c r="X39" s="306" t="s">
        <v>320</v>
      </c>
      <c r="Y39" s="306"/>
      <c r="Z39" s="306"/>
      <c r="AA39" s="306"/>
      <c r="AB39" s="306"/>
      <c r="AC39" s="69"/>
    </row>
    <row r="40" spans="1:37" ht="3.75" customHeight="1" x14ac:dyDescent="0.3">
      <c r="J40" s="67"/>
      <c r="K40" s="67"/>
      <c r="L40" s="67"/>
      <c r="M40" s="67"/>
      <c r="N40" s="67"/>
      <c r="Q40" s="67"/>
      <c r="R40" s="67"/>
      <c r="S40" s="67"/>
      <c r="T40" s="67"/>
      <c r="U40" s="67"/>
      <c r="X40" s="67"/>
      <c r="Y40" s="67"/>
      <c r="Z40" s="67"/>
      <c r="AA40" s="67"/>
      <c r="AB40" s="67"/>
    </row>
    <row r="41" spans="1:37" ht="15" customHeight="1" x14ac:dyDescent="0.3">
      <c r="A41" s="69"/>
      <c r="B41" s="70" t="s">
        <v>323</v>
      </c>
      <c r="C41" s="71">
        <v>4</v>
      </c>
      <c r="D41" s="72">
        <v>1</v>
      </c>
      <c r="E41" s="72">
        <v>1</v>
      </c>
      <c r="F41" s="72">
        <v>1</v>
      </c>
      <c r="G41" s="72">
        <v>1</v>
      </c>
      <c r="H41" s="69"/>
      <c r="I41" s="70" t="s">
        <v>323</v>
      </c>
      <c r="J41" s="71">
        <v>4</v>
      </c>
      <c r="K41" s="72">
        <v>2</v>
      </c>
      <c r="L41" s="72">
        <v>2</v>
      </c>
      <c r="M41" s="72">
        <v>1</v>
      </c>
      <c r="N41" s="72">
        <v>1</v>
      </c>
      <c r="O41" s="69"/>
      <c r="P41" s="70" t="s">
        <v>323</v>
      </c>
      <c r="Q41" s="71">
        <v>4</v>
      </c>
      <c r="R41" s="72">
        <v>2</v>
      </c>
      <c r="S41" s="72">
        <v>2</v>
      </c>
      <c r="T41" s="72">
        <v>1</v>
      </c>
      <c r="U41" s="72">
        <v>1</v>
      </c>
      <c r="V41" s="69"/>
      <c r="W41" s="70" t="s">
        <v>323</v>
      </c>
      <c r="X41" s="71">
        <v>4</v>
      </c>
      <c r="Y41" s="72">
        <v>2</v>
      </c>
      <c r="Z41" s="72">
        <v>2</v>
      </c>
      <c r="AA41" s="72">
        <v>2</v>
      </c>
      <c r="AB41" s="72">
        <v>1</v>
      </c>
      <c r="AC41" s="69"/>
      <c r="AD41" s="74"/>
    </row>
    <row r="42" spans="1:37" ht="15" customHeight="1" x14ac:dyDescent="0.3">
      <c r="A42" s="69"/>
      <c r="B42" s="70" t="s">
        <v>332</v>
      </c>
      <c r="C42" s="71">
        <v>3</v>
      </c>
      <c r="D42" s="72">
        <v>1</v>
      </c>
      <c r="E42" s="72">
        <v>1</v>
      </c>
      <c r="F42" s="72">
        <v>1</v>
      </c>
      <c r="G42" s="72">
        <v>1</v>
      </c>
      <c r="H42" s="69"/>
      <c r="I42" s="70" t="s">
        <v>332</v>
      </c>
      <c r="J42" s="71">
        <v>3</v>
      </c>
      <c r="K42" s="72">
        <v>2</v>
      </c>
      <c r="L42" s="72">
        <v>2</v>
      </c>
      <c r="M42" s="72">
        <v>1</v>
      </c>
      <c r="N42" s="72">
        <v>1</v>
      </c>
      <c r="O42" s="69"/>
      <c r="P42" s="70" t="s">
        <v>332</v>
      </c>
      <c r="Q42" s="71">
        <v>3</v>
      </c>
      <c r="R42" s="72">
        <v>3</v>
      </c>
      <c r="S42" s="72">
        <v>2</v>
      </c>
      <c r="T42" s="72">
        <v>2</v>
      </c>
      <c r="U42" s="72">
        <v>1</v>
      </c>
      <c r="V42" s="69"/>
      <c r="W42" s="70" t="s">
        <v>332</v>
      </c>
      <c r="X42" s="71">
        <v>3</v>
      </c>
      <c r="Y42" s="72">
        <v>3</v>
      </c>
      <c r="Z42" s="72">
        <v>3</v>
      </c>
      <c r="AA42" s="72">
        <v>2</v>
      </c>
      <c r="AB42" s="72">
        <v>1</v>
      </c>
      <c r="AC42" s="69"/>
    </row>
    <row r="43" spans="1:37" ht="15" customHeight="1" x14ac:dyDescent="0.3">
      <c r="A43" s="69"/>
      <c r="B43" s="70" t="s">
        <v>322</v>
      </c>
      <c r="C43" s="71">
        <v>2</v>
      </c>
      <c r="D43" s="72">
        <v>1</v>
      </c>
      <c r="E43" s="72">
        <v>1</v>
      </c>
      <c r="F43" s="72">
        <v>1</v>
      </c>
      <c r="G43" s="72">
        <v>1</v>
      </c>
      <c r="H43" s="69"/>
      <c r="I43" s="70" t="s">
        <v>322</v>
      </c>
      <c r="J43" s="71">
        <v>2</v>
      </c>
      <c r="K43" s="72">
        <v>2</v>
      </c>
      <c r="L43" s="72">
        <v>2</v>
      </c>
      <c r="M43" s="72">
        <v>2</v>
      </c>
      <c r="N43" s="72">
        <v>1</v>
      </c>
      <c r="O43" s="69"/>
      <c r="P43" s="70" t="s">
        <v>322</v>
      </c>
      <c r="Q43" s="71">
        <v>2</v>
      </c>
      <c r="R43" s="72">
        <v>3</v>
      </c>
      <c r="S43" s="72">
        <v>3</v>
      </c>
      <c r="T43" s="72">
        <v>2</v>
      </c>
      <c r="U43" s="72">
        <v>1</v>
      </c>
      <c r="V43" s="69"/>
      <c r="W43" s="70" t="s">
        <v>322</v>
      </c>
      <c r="X43" s="71">
        <v>2</v>
      </c>
      <c r="Y43" s="72">
        <v>4</v>
      </c>
      <c r="Z43" s="72">
        <v>3</v>
      </c>
      <c r="AA43" s="72">
        <v>2</v>
      </c>
      <c r="AB43" s="72">
        <v>1</v>
      </c>
      <c r="AC43" s="69"/>
    </row>
    <row r="44" spans="1:37" ht="15" customHeight="1" x14ac:dyDescent="0.3">
      <c r="A44" s="69"/>
      <c r="B44" s="70" t="s">
        <v>807</v>
      </c>
      <c r="C44" s="71">
        <v>1</v>
      </c>
      <c r="D44" s="72">
        <v>1</v>
      </c>
      <c r="E44" s="72">
        <v>1</v>
      </c>
      <c r="F44" s="72">
        <v>1</v>
      </c>
      <c r="G44" s="72">
        <v>1</v>
      </c>
      <c r="H44" s="69"/>
      <c r="I44" s="70" t="s">
        <v>807</v>
      </c>
      <c r="J44" s="71">
        <v>1</v>
      </c>
      <c r="K44" s="72">
        <v>2</v>
      </c>
      <c r="L44" s="72">
        <v>2</v>
      </c>
      <c r="M44" s="72">
        <v>2</v>
      </c>
      <c r="N44" s="72">
        <v>1</v>
      </c>
      <c r="O44" s="69"/>
      <c r="P44" s="70" t="s">
        <v>807</v>
      </c>
      <c r="Q44" s="71">
        <v>1</v>
      </c>
      <c r="R44" s="72">
        <v>3</v>
      </c>
      <c r="S44" s="72">
        <v>3</v>
      </c>
      <c r="T44" s="72">
        <v>2</v>
      </c>
      <c r="U44" s="72">
        <v>1</v>
      </c>
      <c r="V44" s="69"/>
      <c r="W44" s="70" t="s">
        <v>807</v>
      </c>
      <c r="X44" s="71">
        <v>1</v>
      </c>
      <c r="Y44" s="72">
        <v>4</v>
      </c>
      <c r="Z44" s="72">
        <v>3</v>
      </c>
      <c r="AA44" s="72">
        <v>2</v>
      </c>
      <c r="AB44" s="72">
        <v>1</v>
      </c>
      <c r="AC44" s="69"/>
    </row>
    <row r="45" spans="1:37" ht="15" customHeight="1" x14ac:dyDescent="0.3">
      <c r="A45" s="69"/>
      <c r="B45" s="70"/>
      <c r="C45" s="73"/>
      <c r="D45" s="71">
        <v>1</v>
      </c>
      <c r="E45" s="71">
        <v>2</v>
      </c>
      <c r="F45" s="71">
        <v>3</v>
      </c>
      <c r="G45" s="71">
        <v>4</v>
      </c>
      <c r="H45" s="69"/>
      <c r="I45" s="70"/>
      <c r="J45" s="73"/>
      <c r="K45" s="71">
        <v>1</v>
      </c>
      <c r="L45" s="71">
        <v>2</v>
      </c>
      <c r="M45" s="71">
        <v>3</v>
      </c>
      <c r="N45" s="71">
        <v>4</v>
      </c>
      <c r="O45" s="69"/>
      <c r="P45" s="70"/>
      <c r="Q45" s="73"/>
      <c r="R45" s="71">
        <v>1</v>
      </c>
      <c r="S45" s="71">
        <v>2</v>
      </c>
      <c r="T45" s="71">
        <v>3</v>
      </c>
      <c r="U45" s="71">
        <v>4</v>
      </c>
      <c r="V45" s="69"/>
      <c r="W45" s="70"/>
      <c r="X45" s="73"/>
      <c r="Y45" s="71">
        <v>1</v>
      </c>
      <c r="Z45" s="71">
        <v>2</v>
      </c>
      <c r="AA45" s="71">
        <v>3</v>
      </c>
      <c r="AB45" s="71">
        <v>4</v>
      </c>
      <c r="AC45" s="69"/>
    </row>
    <row r="46" spans="1:37" ht="15" customHeight="1" x14ac:dyDescent="0.3">
      <c r="A46" s="69"/>
      <c r="B46" s="69"/>
      <c r="C46" s="73"/>
      <c r="D46" s="71" t="s">
        <v>323</v>
      </c>
      <c r="E46" s="71" t="s">
        <v>223</v>
      </c>
      <c r="F46" s="71" t="s">
        <v>324</v>
      </c>
      <c r="G46" s="71" t="s">
        <v>324</v>
      </c>
      <c r="H46" s="69"/>
      <c r="I46" s="69"/>
      <c r="J46" s="73"/>
      <c r="K46" s="71" t="s">
        <v>323</v>
      </c>
      <c r="L46" s="71" t="s">
        <v>223</v>
      </c>
      <c r="M46" s="71" t="s">
        <v>324</v>
      </c>
      <c r="N46" s="71" t="s">
        <v>324</v>
      </c>
      <c r="O46" s="69"/>
      <c r="P46" s="69"/>
      <c r="Q46" s="73"/>
      <c r="R46" s="71" t="s">
        <v>323</v>
      </c>
      <c r="S46" s="71" t="s">
        <v>223</v>
      </c>
      <c r="T46" s="71" t="s">
        <v>324</v>
      </c>
      <c r="U46" s="71" t="s">
        <v>324</v>
      </c>
      <c r="V46" s="69"/>
      <c r="W46" s="69"/>
      <c r="X46" s="73"/>
      <c r="Y46" s="71" t="s">
        <v>323</v>
      </c>
      <c r="Z46" s="71" t="s">
        <v>223</v>
      </c>
      <c r="AA46" s="71" t="s">
        <v>324</v>
      </c>
      <c r="AB46" s="71" t="s">
        <v>324</v>
      </c>
      <c r="AC46" s="69"/>
    </row>
    <row r="48" spans="1:37" ht="19.5" x14ac:dyDescent="0.4">
      <c r="A48" s="68" t="s">
        <v>335</v>
      </c>
      <c r="AK48" s="74"/>
    </row>
    <row r="49" spans="1:58" ht="3" customHeight="1" x14ac:dyDescent="0.2"/>
    <row r="50" spans="1:58" ht="12" customHeight="1" x14ac:dyDescent="0.3">
      <c r="A50" s="69"/>
      <c r="B50" s="69"/>
      <c r="C50" s="306" t="s">
        <v>317</v>
      </c>
      <c r="D50" s="306"/>
      <c r="E50" s="306"/>
      <c r="F50" s="306"/>
      <c r="G50" s="306"/>
      <c r="H50" s="69"/>
      <c r="I50" s="69"/>
      <c r="J50" s="306" t="s">
        <v>318</v>
      </c>
      <c r="K50" s="306"/>
      <c r="L50" s="306"/>
      <c r="M50" s="306"/>
      <c r="N50" s="306"/>
      <c r="O50" s="69"/>
      <c r="P50" s="69"/>
      <c r="Q50" s="306" t="s">
        <v>319</v>
      </c>
      <c r="R50" s="306"/>
      <c r="S50" s="306"/>
      <c r="T50" s="306"/>
      <c r="U50" s="306"/>
      <c r="V50" s="69"/>
      <c r="W50" s="69"/>
      <c r="X50" s="306" t="s">
        <v>320</v>
      </c>
      <c r="Y50" s="306"/>
      <c r="Z50" s="306"/>
      <c r="AA50" s="306"/>
      <c r="AB50" s="306"/>
      <c r="AC50" s="69"/>
      <c r="AF50" s="69"/>
      <c r="AG50" s="306"/>
      <c r="AH50" s="306"/>
      <c r="AI50" s="306"/>
      <c r="AJ50" s="306"/>
      <c r="AK50" s="306"/>
      <c r="AL50" s="69"/>
      <c r="AM50" s="69"/>
      <c r="AN50" s="306"/>
      <c r="AO50" s="306"/>
      <c r="AP50" s="306"/>
      <c r="AQ50" s="306"/>
      <c r="AR50" s="306"/>
      <c r="AS50" s="69"/>
      <c r="AT50" s="69"/>
      <c r="AU50" s="306"/>
      <c r="AV50" s="306"/>
      <c r="AW50" s="306"/>
      <c r="AX50" s="306"/>
      <c r="AY50" s="306"/>
      <c r="AZ50" s="69"/>
      <c r="BA50" s="69"/>
      <c r="BB50" s="306"/>
      <c r="BC50" s="306"/>
      <c r="BD50" s="306"/>
      <c r="BE50" s="306"/>
      <c r="BF50" s="306"/>
    </row>
    <row r="51" spans="1:58" ht="3.75" customHeight="1" x14ac:dyDescent="0.3">
      <c r="J51" s="67"/>
      <c r="K51" s="67"/>
      <c r="L51" s="67"/>
      <c r="M51" s="67"/>
      <c r="N51" s="67"/>
      <c r="Q51" s="67"/>
      <c r="R51" s="67"/>
      <c r="S51" s="67"/>
      <c r="T51" s="67"/>
      <c r="U51" s="67"/>
      <c r="X51" s="67"/>
      <c r="Y51" s="67"/>
      <c r="Z51" s="67"/>
      <c r="AA51" s="67"/>
      <c r="AB51" s="67"/>
      <c r="AF51" s="75"/>
      <c r="AG51" s="67"/>
      <c r="AH51" s="67"/>
      <c r="AI51" s="67"/>
      <c r="AJ51" s="67"/>
      <c r="AK51" s="67"/>
      <c r="AL51" s="75"/>
      <c r="AM51" s="75"/>
      <c r="AN51" s="67"/>
      <c r="AO51" s="67"/>
      <c r="AP51" s="67"/>
      <c r="AQ51" s="67"/>
      <c r="AR51" s="67"/>
      <c r="AS51" s="75"/>
      <c r="AT51" s="75"/>
      <c r="AU51" s="67"/>
      <c r="AV51" s="67"/>
      <c r="AW51" s="67"/>
      <c r="AX51" s="67"/>
      <c r="AY51" s="67"/>
      <c r="AZ51" s="75"/>
      <c r="BA51" s="75"/>
      <c r="BB51" s="67"/>
      <c r="BC51" s="67"/>
      <c r="BD51" s="67"/>
      <c r="BE51" s="67"/>
      <c r="BF51" s="67"/>
    </row>
    <row r="52" spans="1:58" ht="15" customHeight="1" x14ac:dyDescent="0.3">
      <c r="A52" s="69"/>
      <c r="B52" s="70" t="s">
        <v>323</v>
      </c>
      <c r="C52" s="71">
        <v>4</v>
      </c>
      <c r="D52" s="72">
        <v>1</v>
      </c>
      <c r="E52" s="72">
        <v>1</v>
      </c>
      <c r="F52" s="72">
        <v>1</v>
      </c>
      <c r="G52" s="72">
        <v>1</v>
      </c>
      <c r="H52" s="69"/>
      <c r="I52" s="70" t="s">
        <v>323</v>
      </c>
      <c r="J52" s="71">
        <v>4</v>
      </c>
      <c r="K52" s="72">
        <v>1</v>
      </c>
      <c r="L52" s="72">
        <v>1</v>
      </c>
      <c r="M52" s="72">
        <v>1</v>
      </c>
      <c r="N52" s="72">
        <v>1</v>
      </c>
      <c r="O52" s="69"/>
      <c r="P52" s="70" t="s">
        <v>323</v>
      </c>
      <c r="Q52" s="71">
        <v>4</v>
      </c>
      <c r="R52" s="72">
        <v>1</v>
      </c>
      <c r="S52" s="72">
        <v>1</v>
      </c>
      <c r="T52" s="72">
        <v>1</v>
      </c>
      <c r="U52" s="72">
        <v>1</v>
      </c>
      <c r="V52" s="69"/>
      <c r="W52" s="70" t="s">
        <v>323</v>
      </c>
      <c r="X52" s="71">
        <v>4</v>
      </c>
      <c r="Y52" s="72">
        <v>1</v>
      </c>
      <c r="Z52" s="72">
        <v>1</v>
      </c>
      <c r="AA52" s="72">
        <v>1</v>
      </c>
      <c r="AB52" s="72">
        <v>1</v>
      </c>
      <c r="AC52" s="69"/>
      <c r="AD52" s="76"/>
      <c r="AF52" s="70"/>
      <c r="AG52" s="73"/>
      <c r="AH52" s="71"/>
      <c r="AI52" s="71"/>
      <c r="AJ52" s="71"/>
      <c r="AK52" s="71"/>
      <c r="AL52" s="69"/>
      <c r="AM52" s="70"/>
      <c r="AN52" s="73"/>
      <c r="AO52" s="71"/>
      <c r="AP52" s="71"/>
      <c r="AQ52" s="71"/>
      <c r="AR52" s="71"/>
      <c r="AS52" s="69"/>
      <c r="AT52" s="70"/>
      <c r="AU52" s="73"/>
      <c r="AV52" s="71"/>
      <c r="AW52" s="71"/>
      <c r="AX52" s="71"/>
      <c r="AY52" s="71"/>
      <c r="AZ52" s="69"/>
      <c r="BA52" s="70"/>
      <c r="BB52" s="73"/>
      <c r="BC52" s="71"/>
      <c r="BD52" s="71"/>
      <c r="BE52" s="71"/>
      <c r="BF52" s="71"/>
    </row>
    <row r="53" spans="1:58" ht="15" customHeight="1" x14ac:dyDescent="0.3">
      <c r="A53" s="69"/>
      <c r="B53" s="70" t="s">
        <v>332</v>
      </c>
      <c r="C53" s="71">
        <v>3</v>
      </c>
      <c r="D53" s="72">
        <v>1</v>
      </c>
      <c r="E53" s="72">
        <v>1</v>
      </c>
      <c r="F53" s="72">
        <v>1</v>
      </c>
      <c r="G53" s="72">
        <v>1</v>
      </c>
      <c r="H53" s="69"/>
      <c r="I53" s="70" t="s">
        <v>332</v>
      </c>
      <c r="J53" s="71">
        <v>3</v>
      </c>
      <c r="K53" s="72">
        <v>2</v>
      </c>
      <c r="L53" s="72">
        <v>2</v>
      </c>
      <c r="M53" s="72">
        <v>1</v>
      </c>
      <c r="N53" s="72">
        <v>1</v>
      </c>
      <c r="O53" s="69"/>
      <c r="P53" s="70" t="s">
        <v>332</v>
      </c>
      <c r="Q53" s="71">
        <v>3</v>
      </c>
      <c r="R53" s="72">
        <v>2</v>
      </c>
      <c r="S53" s="72">
        <v>2</v>
      </c>
      <c r="T53" s="72">
        <v>1</v>
      </c>
      <c r="U53" s="72">
        <v>1</v>
      </c>
      <c r="V53" s="69"/>
      <c r="W53" s="70" t="s">
        <v>332</v>
      </c>
      <c r="X53" s="71">
        <v>3</v>
      </c>
      <c r="Y53" s="72">
        <v>2</v>
      </c>
      <c r="Z53" s="72">
        <v>2</v>
      </c>
      <c r="AA53" s="72">
        <v>2</v>
      </c>
      <c r="AB53" s="72">
        <v>1</v>
      </c>
      <c r="AC53" s="69"/>
      <c r="AF53" s="70"/>
      <c r="AG53" s="73"/>
      <c r="AH53" s="71"/>
      <c r="AI53" s="71"/>
      <c r="AJ53" s="71"/>
      <c r="AK53" s="71"/>
      <c r="AL53" s="69"/>
      <c r="AM53" s="70"/>
      <c r="AN53" s="73"/>
      <c r="AO53" s="71"/>
      <c r="AP53" s="71"/>
      <c r="AQ53" s="71"/>
      <c r="AR53" s="71"/>
      <c r="AS53" s="69"/>
      <c r="AT53" s="70"/>
      <c r="AU53" s="73"/>
      <c r="AV53" s="71"/>
      <c r="AW53" s="71"/>
      <c r="AX53" s="71"/>
      <c r="AY53" s="71"/>
      <c r="AZ53" s="69"/>
      <c r="BA53" s="70"/>
      <c r="BB53" s="73"/>
      <c r="BC53" s="71"/>
      <c r="BD53" s="71"/>
      <c r="BE53" s="71"/>
      <c r="BF53" s="71"/>
    </row>
    <row r="54" spans="1:58" ht="15" customHeight="1" x14ac:dyDescent="0.3">
      <c r="A54" s="69"/>
      <c r="B54" s="70" t="s">
        <v>322</v>
      </c>
      <c r="C54" s="71">
        <v>2</v>
      </c>
      <c r="D54" s="72">
        <v>1</v>
      </c>
      <c r="E54" s="72">
        <v>1</v>
      </c>
      <c r="F54" s="72">
        <v>1</v>
      </c>
      <c r="G54" s="72">
        <v>1</v>
      </c>
      <c r="H54" s="69"/>
      <c r="I54" s="70" t="s">
        <v>322</v>
      </c>
      <c r="J54" s="71">
        <v>2</v>
      </c>
      <c r="K54" s="72">
        <v>2</v>
      </c>
      <c r="L54" s="72">
        <v>2</v>
      </c>
      <c r="M54" s="72">
        <v>2</v>
      </c>
      <c r="N54" s="72">
        <v>1</v>
      </c>
      <c r="O54" s="69"/>
      <c r="P54" s="70" t="s">
        <v>322</v>
      </c>
      <c r="Q54" s="71">
        <v>2</v>
      </c>
      <c r="R54" s="72">
        <v>3</v>
      </c>
      <c r="S54" s="72">
        <v>3</v>
      </c>
      <c r="T54" s="72">
        <v>2</v>
      </c>
      <c r="U54" s="72">
        <v>1</v>
      </c>
      <c r="V54" s="69"/>
      <c r="W54" s="70" t="s">
        <v>322</v>
      </c>
      <c r="X54" s="71">
        <v>2</v>
      </c>
      <c r="Y54" s="72">
        <v>3</v>
      </c>
      <c r="Z54" s="72">
        <v>3</v>
      </c>
      <c r="AA54" s="72">
        <v>2</v>
      </c>
      <c r="AB54" s="72">
        <v>1</v>
      </c>
      <c r="AC54" s="69"/>
      <c r="AF54" s="70"/>
      <c r="AG54" s="73"/>
      <c r="AH54" s="71"/>
      <c r="AI54" s="71"/>
      <c r="AJ54" s="71"/>
      <c r="AK54" s="71"/>
      <c r="AL54" s="69"/>
      <c r="AM54" s="70"/>
      <c r="AN54" s="73"/>
      <c r="AO54" s="71"/>
      <c r="AP54" s="71"/>
      <c r="AQ54" s="71"/>
      <c r="AR54" s="71"/>
      <c r="AS54" s="69"/>
      <c r="AT54" s="70"/>
      <c r="AU54" s="73"/>
      <c r="AV54" s="71"/>
      <c r="AW54" s="71"/>
      <c r="AX54" s="71"/>
      <c r="AY54" s="71"/>
      <c r="AZ54" s="69"/>
      <c r="BA54" s="70"/>
      <c r="BB54" s="73"/>
      <c r="BC54" s="71"/>
      <c r="BD54" s="71"/>
      <c r="BE54" s="71"/>
      <c r="BF54" s="71"/>
    </row>
    <row r="55" spans="1:58" ht="15" customHeight="1" x14ac:dyDescent="0.3">
      <c r="A55" s="69"/>
      <c r="B55" s="70" t="s">
        <v>807</v>
      </c>
      <c r="C55" s="71">
        <v>1</v>
      </c>
      <c r="D55" s="72">
        <v>1</v>
      </c>
      <c r="E55" s="72">
        <v>1</v>
      </c>
      <c r="F55" s="72">
        <v>1</v>
      </c>
      <c r="G55" s="72">
        <v>1</v>
      </c>
      <c r="H55" s="69"/>
      <c r="I55" s="70" t="s">
        <v>807</v>
      </c>
      <c r="J55" s="71">
        <v>1</v>
      </c>
      <c r="K55" s="72">
        <v>2</v>
      </c>
      <c r="L55" s="72">
        <v>2</v>
      </c>
      <c r="M55" s="72">
        <v>2</v>
      </c>
      <c r="N55" s="72">
        <v>1</v>
      </c>
      <c r="O55" s="69"/>
      <c r="P55" s="70" t="s">
        <v>807</v>
      </c>
      <c r="Q55" s="71">
        <v>1</v>
      </c>
      <c r="R55" s="72">
        <v>3</v>
      </c>
      <c r="S55" s="72">
        <v>3</v>
      </c>
      <c r="T55" s="72">
        <v>2</v>
      </c>
      <c r="U55" s="72">
        <v>1</v>
      </c>
      <c r="V55" s="69"/>
      <c r="W55" s="70" t="s">
        <v>807</v>
      </c>
      <c r="X55" s="71">
        <v>1</v>
      </c>
      <c r="Y55" s="72">
        <v>4</v>
      </c>
      <c r="Z55" s="72">
        <v>3</v>
      </c>
      <c r="AA55" s="72">
        <v>2</v>
      </c>
      <c r="AB55" s="72">
        <v>1</v>
      </c>
      <c r="AC55" s="69"/>
      <c r="AF55" s="70"/>
      <c r="AG55" s="73"/>
      <c r="AH55" s="71"/>
      <c r="AI55" s="71"/>
      <c r="AJ55" s="71"/>
      <c r="AK55" s="71"/>
      <c r="AL55" s="69"/>
      <c r="AM55" s="70"/>
      <c r="AN55" s="73"/>
      <c r="AO55" s="71"/>
      <c r="AP55" s="71"/>
      <c r="AQ55" s="71"/>
      <c r="AR55" s="71"/>
      <c r="AS55" s="69"/>
      <c r="AT55" s="70"/>
      <c r="AU55" s="73"/>
      <c r="AV55" s="71"/>
      <c r="AW55" s="71"/>
      <c r="AX55" s="71"/>
      <c r="AY55" s="71"/>
      <c r="AZ55" s="69"/>
      <c r="BA55" s="70"/>
      <c r="BB55" s="73"/>
      <c r="BC55" s="71"/>
      <c r="BD55" s="71"/>
      <c r="BE55" s="71"/>
      <c r="BF55" s="71"/>
    </row>
    <row r="56" spans="1:58" ht="15" customHeight="1" x14ac:dyDescent="0.3">
      <c r="A56" s="69"/>
      <c r="B56" s="70"/>
      <c r="C56" s="73"/>
      <c r="D56" s="71">
        <v>1</v>
      </c>
      <c r="E56" s="71">
        <v>2</v>
      </c>
      <c r="F56" s="71">
        <v>3</v>
      </c>
      <c r="G56" s="71">
        <v>4</v>
      </c>
      <c r="H56" s="69"/>
      <c r="I56" s="70"/>
      <c r="J56" s="73"/>
      <c r="K56" s="71">
        <v>1</v>
      </c>
      <c r="L56" s="71">
        <v>2</v>
      </c>
      <c r="M56" s="71">
        <v>3</v>
      </c>
      <c r="N56" s="71">
        <v>4</v>
      </c>
      <c r="O56" s="69"/>
      <c r="P56" s="70"/>
      <c r="Q56" s="73"/>
      <c r="R56" s="71">
        <v>1</v>
      </c>
      <c r="S56" s="71">
        <v>2</v>
      </c>
      <c r="T56" s="71">
        <v>3</v>
      </c>
      <c r="U56" s="71">
        <v>4</v>
      </c>
      <c r="V56" s="69"/>
      <c r="W56" s="70"/>
      <c r="X56" s="73"/>
      <c r="Y56" s="71">
        <v>1</v>
      </c>
      <c r="Z56" s="71">
        <v>2</v>
      </c>
      <c r="AA56" s="71">
        <v>3</v>
      </c>
      <c r="AB56" s="71">
        <v>4</v>
      </c>
      <c r="AC56" s="69"/>
      <c r="AF56" s="70"/>
      <c r="AG56" s="73"/>
      <c r="AH56" s="71"/>
      <c r="AI56" s="71"/>
      <c r="AJ56" s="71"/>
      <c r="AK56" s="71"/>
      <c r="AL56" s="69"/>
      <c r="AM56" s="70"/>
      <c r="AN56" s="73"/>
      <c r="AO56" s="71"/>
      <c r="AP56" s="71"/>
      <c r="AQ56" s="71"/>
      <c r="AR56" s="71"/>
      <c r="AS56" s="69"/>
      <c r="AT56" s="70"/>
      <c r="AU56" s="73"/>
      <c r="AV56" s="71"/>
      <c r="AW56" s="71"/>
      <c r="AX56" s="71"/>
      <c r="AY56" s="71"/>
      <c r="AZ56" s="69"/>
      <c r="BA56" s="70"/>
      <c r="BB56" s="73"/>
      <c r="BC56" s="71"/>
      <c r="BD56" s="71"/>
      <c r="BE56" s="71"/>
      <c r="BF56" s="71"/>
    </row>
    <row r="57" spans="1:58" ht="15" customHeight="1" x14ac:dyDescent="0.3">
      <c r="A57" s="69"/>
      <c r="B57" s="69"/>
      <c r="C57" s="73"/>
      <c r="D57" s="71" t="s">
        <v>323</v>
      </c>
      <c r="E57" s="71" t="s">
        <v>223</v>
      </c>
      <c r="F57" s="71" t="s">
        <v>324</v>
      </c>
      <c r="G57" s="71" t="s">
        <v>324</v>
      </c>
      <c r="H57" s="69"/>
      <c r="I57" s="69"/>
      <c r="J57" s="73"/>
      <c r="K57" s="71" t="s">
        <v>323</v>
      </c>
      <c r="L57" s="71" t="s">
        <v>223</v>
      </c>
      <c r="M57" s="71" t="s">
        <v>324</v>
      </c>
      <c r="N57" s="71" t="s">
        <v>324</v>
      </c>
      <c r="O57" s="69"/>
      <c r="P57" s="69"/>
      <c r="Q57" s="73"/>
      <c r="R57" s="71" t="s">
        <v>323</v>
      </c>
      <c r="S57" s="71" t="s">
        <v>223</v>
      </c>
      <c r="T57" s="71" t="s">
        <v>324</v>
      </c>
      <c r="U57" s="71" t="s">
        <v>324</v>
      </c>
      <c r="V57" s="69"/>
      <c r="W57" s="69"/>
      <c r="X57" s="73"/>
      <c r="Y57" s="71" t="s">
        <v>323</v>
      </c>
      <c r="Z57" s="71" t="s">
        <v>223</v>
      </c>
      <c r="AA57" s="71" t="s">
        <v>324</v>
      </c>
      <c r="AB57" s="71" t="s">
        <v>324</v>
      </c>
      <c r="AC57" s="69"/>
      <c r="AF57" s="69"/>
      <c r="AG57" s="73"/>
      <c r="AH57" s="71"/>
      <c r="AI57" s="71"/>
      <c r="AJ57" s="71"/>
      <c r="AK57" s="71"/>
      <c r="AL57" s="69"/>
      <c r="AM57" s="69"/>
      <c r="AN57" s="73"/>
      <c r="AO57" s="71"/>
      <c r="AP57" s="71"/>
      <c r="AQ57" s="71"/>
      <c r="AR57" s="71"/>
      <c r="AS57" s="69"/>
      <c r="AT57" s="69"/>
      <c r="AU57" s="73"/>
      <c r="AV57" s="71"/>
      <c r="AW57" s="71"/>
      <c r="AX57" s="71"/>
      <c r="AY57" s="71"/>
      <c r="AZ57" s="69"/>
      <c r="BA57" s="69"/>
      <c r="BB57" s="73"/>
      <c r="BC57" s="71"/>
      <c r="BD57" s="71"/>
      <c r="BE57" s="71"/>
      <c r="BF57" s="71"/>
    </row>
    <row r="59" spans="1:58" ht="19.5" x14ac:dyDescent="0.4">
      <c r="A59" s="68" t="s">
        <v>336</v>
      </c>
    </row>
    <row r="60" spans="1:58" ht="3" customHeight="1" x14ac:dyDescent="0.2"/>
    <row r="61" spans="1:58" ht="12" customHeight="1" x14ac:dyDescent="0.3">
      <c r="A61" s="69"/>
      <c r="B61" s="69"/>
      <c r="C61" s="306" t="s">
        <v>317</v>
      </c>
      <c r="D61" s="306"/>
      <c r="E61" s="306"/>
      <c r="F61" s="306"/>
      <c r="G61" s="306"/>
      <c r="H61" s="69"/>
      <c r="I61" s="69"/>
      <c r="J61" s="306" t="s">
        <v>318</v>
      </c>
      <c r="K61" s="306"/>
      <c r="L61" s="306"/>
      <c r="M61" s="306"/>
      <c r="N61" s="306"/>
      <c r="O61" s="69"/>
      <c r="P61" s="69"/>
      <c r="Q61" s="306" t="s">
        <v>319</v>
      </c>
      <c r="R61" s="306"/>
      <c r="S61" s="306"/>
      <c r="T61" s="306"/>
      <c r="U61" s="306"/>
      <c r="V61" s="69"/>
      <c r="W61" s="69"/>
      <c r="X61" s="306" t="s">
        <v>320</v>
      </c>
      <c r="Y61" s="306"/>
      <c r="Z61" s="306"/>
      <c r="AA61" s="306"/>
      <c r="AB61" s="306"/>
      <c r="AC61" s="69"/>
      <c r="AE61" s="77"/>
      <c r="AF61" s="77"/>
      <c r="AG61" s="77"/>
      <c r="AH61" s="77"/>
      <c r="AI61" s="77"/>
      <c r="AJ61" s="77"/>
      <c r="AK61" s="77"/>
      <c r="AL61" s="77"/>
      <c r="AM61" s="77"/>
      <c r="AN61" s="77"/>
      <c r="AO61" s="77"/>
      <c r="AP61" s="77"/>
      <c r="AQ61" s="77"/>
    </row>
    <row r="62" spans="1:58" ht="2.25" customHeight="1" x14ac:dyDescent="0.3">
      <c r="J62" s="67"/>
      <c r="K62" s="67"/>
      <c r="L62" s="67"/>
      <c r="M62" s="67"/>
      <c r="N62" s="67"/>
      <c r="Q62" s="67"/>
      <c r="R62" s="67"/>
      <c r="S62" s="67"/>
      <c r="T62" s="67"/>
      <c r="U62" s="67"/>
      <c r="X62" s="67"/>
      <c r="Y62" s="67"/>
      <c r="Z62" s="67"/>
      <c r="AA62" s="67"/>
      <c r="AB62" s="67"/>
      <c r="AE62" s="77"/>
      <c r="AF62" s="77"/>
      <c r="AG62" s="77"/>
      <c r="AH62" s="77"/>
      <c r="AI62" s="77"/>
      <c r="AJ62" s="77"/>
      <c r="AK62" s="77"/>
      <c r="AL62" s="77"/>
      <c r="AM62" s="77"/>
      <c r="AN62" s="77"/>
      <c r="AO62" s="77"/>
      <c r="AP62" s="77"/>
      <c r="AQ62" s="77"/>
    </row>
    <row r="63" spans="1:58" ht="15" customHeight="1" x14ac:dyDescent="0.3">
      <c r="A63" s="69"/>
      <c r="B63" s="70" t="s">
        <v>323</v>
      </c>
      <c r="C63" s="71">
        <v>4</v>
      </c>
      <c r="D63" s="72">
        <v>1</v>
      </c>
      <c r="E63" s="72"/>
      <c r="F63" s="72"/>
      <c r="G63" s="72"/>
      <c r="H63" s="69"/>
      <c r="I63" s="70" t="s">
        <v>323</v>
      </c>
      <c r="J63" s="71">
        <v>4</v>
      </c>
      <c r="K63" s="72">
        <v>2</v>
      </c>
      <c r="L63" s="72"/>
      <c r="M63" s="72"/>
      <c r="N63" s="72"/>
      <c r="O63" s="69"/>
      <c r="P63" s="70" t="s">
        <v>323</v>
      </c>
      <c r="Q63" s="71">
        <v>4</v>
      </c>
      <c r="R63" s="72">
        <v>2</v>
      </c>
      <c r="S63" s="72"/>
      <c r="T63" s="72"/>
      <c r="U63" s="72"/>
      <c r="V63" s="69"/>
      <c r="W63" s="70" t="s">
        <v>323</v>
      </c>
      <c r="X63" s="71">
        <v>4</v>
      </c>
      <c r="Y63" s="72">
        <v>2</v>
      </c>
      <c r="Z63" s="72"/>
      <c r="AA63" s="72"/>
      <c r="AB63" s="72"/>
      <c r="AC63" s="69"/>
      <c r="AE63" s="77"/>
      <c r="AF63" s="77"/>
      <c r="AG63" s="77"/>
      <c r="AH63" s="77"/>
      <c r="AI63" s="77"/>
      <c r="AJ63" s="77"/>
      <c r="AK63" s="77"/>
      <c r="AL63" s="77"/>
      <c r="AM63" s="77"/>
      <c r="AN63" s="77"/>
      <c r="AO63" s="77"/>
      <c r="AP63" s="77"/>
      <c r="AQ63" s="77"/>
    </row>
    <row r="64" spans="1:58" ht="15" customHeight="1" x14ac:dyDescent="0.3">
      <c r="A64" s="69"/>
      <c r="B64" s="70" t="s">
        <v>332</v>
      </c>
      <c r="C64" s="71">
        <v>3</v>
      </c>
      <c r="D64" s="72">
        <v>1</v>
      </c>
      <c r="E64" s="72"/>
      <c r="F64" s="72"/>
      <c r="G64" s="72"/>
      <c r="H64" s="69"/>
      <c r="I64" s="70" t="s">
        <v>332</v>
      </c>
      <c r="J64" s="71">
        <v>3</v>
      </c>
      <c r="K64" s="72">
        <v>2</v>
      </c>
      <c r="L64" s="72"/>
      <c r="M64" s="72"/>
      <c r="N64" s="72"/>
      <c r="O64" s="69"/>
      <c r="P64" s="70" t="s">
        <v>332</v>
      </c>
      <c r="Q64" s="71">
        <v>3</v>
      </c>
      <c r="R64" s="72">
        <v>2</v>
      </c>
      <c r="S64" s="72"/>
      <c r="T64" s="72"/>
      <c r="U64" s="72"/>
      <c r="V64" s="69"/>
      <c r="W64" s="70" t="s">
        <v>332</v>
      </c>
      <c r="X64" s="71">
        <v>3</v>
      </c>
      <c r="Y64" s="72">
        <v>2</v>
      </c>
      <c r="Z64" s="72"/>
      <c r="AA64" s="72"/>
      <c r="AB64" s="72"/>
      <c r="AC64" s="69"/>
      <c r="AE64" s="77"/>
      <c r="AF64" s="77"/>
      <c r="AG64" s="77"/>
      <c r="AH64" s="77"/>
      <c r="AI64" s="77"/>
      <c r="AJ64" s="77"/>
      <c r="AK64" s="77"/>
      <c r="AL64" s="77"/>
      <c r="AM64" s="77"/>
      <c r="AN64" s="77"/>
      <c r="AO64" s="77"/>
      <c r="AP64" s="77"/>
      <c r="AQ64" s="77"/>
    </row>
    <row r="65" spans="1:43" ht="15" customHeight="1" x14ac:dyDescent="0.3">
      <c r="A65" s="69"/>
      <c r="B65" s="70" t="s">
        <v>322</v>
      </c>
      <c r="C65" s="71">
        <v>2</v>
      </c>
      <c r="D65" s="72">
        <v>1</v>
      </c>
      <c r="E65" s="72"/>
      <c r="F65" s="72"/>
      <c r="G65" s="72"/>
      <c r="H65" s="69"/>
      <c r="I65" s="70" t="s">
        <v>322</v>
      </c>
      <c r="J65" s="71">
        <v>2</v>
      </c>
      <c r="K65" s="72">
        <v>2</v>
      </c>
      <c r="L65" s="72"/>
      <c r="M65" s="72"/>
      <c r="N65" s="72"/>
      <c r="O65" s="69"/>
      <c r="P65" s="70" t="s">
        <v>322</v>
      </c>
      <c r="Q65" s="71">
        <v>2</v>
      </c>
      <c r="R65" s="72">
        <v>3</v>
      </c>
      <c r="S65" s="72"/>
      <c r="T65" s="72"/>
      <c r="U65" s="72"/>
      <c r="V65" s="69"/>
      <c r="W65" s="70" t="s">
        <v>322</v>
      </c>
      <c r="X65" s="71">
        <v>2</v>
      </c>
      <c r="Y65" s="72">
        <v>3</v>
      </c>
      <c r="Z65" s="72"/>
      <c r="AA65" s="72"/>
      <c r="AB65" s="72"/>
      <c r="AC65" s="69"/>
      <c r="AE65" s="77"/>
      <c r="AF65" s="77"/>
      <c r="AG65" s="77"/>
      <c r="AH65" s="77"/>
      <c r="AI65" s="77"/>
      <c r="AJ65" s="77"/>
      <c r="AK65" s="77"/>
      <c r="AL65" s="77"/>
      <c r="AM65" s="77"/>
      <c r="AN65" s="77"/>
      <c r="AO65" s="77"/>
      <c r="AP65" s="77"/>
      <c r="AQ65" s="77"/>
    </row>
    <row r="66" spans="1:43" ht="15" customHeight="1" x14ac:dyDescent="0.3">
      <c r="A66" s="69"/>
      <c r="B66" s="70" t="s">
        <v>807</v>
      </c>
      <c r="C66" s="71">
        <v>1</v>
      </c>
      <c r="D66" s="72">
        <v>1</v>
      </c>
      <c r="E66" s="72"/>
      <c r="F66" s="72"/>
      <c r="G66" s="72"/>
      <c r="H66" s="69"/>
      <c r="I66" s="70" t="s">
        <v>807</v>
      </c>
      <c r="J66" s="71">
        <v>1</v>
      </c>
      <c r="K66" s="72">
        <v>2</v>
      </c>
      <c r="L66" s="72"/>
      <c r="M66" s="72"/>
      <c r="N66" s="72"/>
      <c r="O66" s="69"/>
      <c r="P66" s="70" t="s">
        <v>807</v>
      </c>
      <c r="Q66" s="71">
        <v>1</v>
      </c>
      <c r="R66" s="72">
        <v>3</v>
      </c>
      <c r="S66" s="72"/>
      <c r="T66" s="72"/>
      <c r="U66" s="72"/>
      <c r="V66" s="69"/>
      <c r="W66" s="70" t="s">
        <v>807</v>
      </c>
      <c r="X66" s="71">
        <v>1</v>
      </c>
      <c r="Y66" s="72">
        <v>4</v>
      </c>
      <c r="Z66" s="72"/>
      <c r="AA66" s="72"/>
      <c r="AB66" s="72"/>
      <c r="AC66" s="69"/>
      <c r="AE66" s="77"/>
      <c r="AF66" s="77"/>
      <c r="AG66" s="77"/>
      <c r="AH66" s="77"/>
      <c r="AI66" s="77"/>
      <c r="AJ66" s="77"/>
      <c r="AK66" s="77"/>
      <c r="AL66" s="77"/>
      <c r="AM66" s="77"/>
      <c r="AN66" s="77"/>
      <c r="AO66" s="77"/>
      <c r="AP66" s="77"/>
      <c r="AQ66" s="77"/>
    </row>
    <row r="67" spans="1:43" ht="15" customHeight="1" x14ac:dyDescent="0.3">
      <c r="A67" s="69"/>
      <c r="B67" s="70"/>
      <c r="C67" s="73"/>
      <c r="D67" s="71">
        <v>1</v>
      </c>
      <c r="E67" s="71"/>
      <c r="F67" s="71"/>
      <c r="G67" s="71"/>
      <c r="H67" s="69"/>
      <c r="I67" s="70"/>
      <c r="J67" s="73"/>
      <c r="K67" s="71">
        <v>1</v>
      </c>
      <c r="L67" s="71"/>
      <c r="M67" s="71"/>
      <c r="N67" s="71"/>
      <c r="O67" s="69"/>
      <c r="P67" s="70"/>
      <c r="Q67" s="73"/>
      <c r="R67" s="71">
        <v>1</v>
      </c>
      <c r="S67" s="71"/>
      <c r="T67" s="71"/>
      <c r="U67" s="71"/>
      <c r="V67" s="69"/>
      <c r="W67" s="70"/>
      <c r="X67" s="73"/>
      <c r="Y67" s="71">
        <v>1</v>
      </c>
      <c r="Z67" s="71"/>
      <c r="AA67" s="71"/>
      <c r="AB67" s="71"/>
      <c r="AC67" s="69"/>
      <c r="AE67" s="77"/>
      <c r="AF67" s="77"/>
      <c r="AG67" s="77"/>
      <c r="AH67" s="77"/>
      <c r="AI67" s="77"/>
      <c r="AJ67" s="77"/>
      <c r="AK67" s="77"/>
      <c r="AL67" s="77"/>
      <c r="AM67" s="77"/>
      <c r="AN67" s="77"/>
      <c r="AO67" s="77"/>
      <c r="AP67" s="77"/>
      <c r="AQ67" s="77"/>
    </row>
    <row r="68" spans="1:43" ht="15" customHeight="1" x14ac:dyDescent="0.3">
      <c r="A68" s="69"/>
      <c r="B68" s="69"/>
      <c r="C68" s="73"/>
      <c r="D68" s="71" t="s">
        <v>323</v>
      </c>
      <c r="E68" s="71" t="s">
        <v>223</v>
      </c>
      <c r="F68" s="71" t="s">
        <v>324</v>
      </c>
      <c r="G68" s="71" t="s">
        <v>324</v>
      </c>
      <c r="H68" s="69"/>
      <c r="I68" s="69"/>
      <c r="J68" s="73"/>
      <c r="K68" s="71" t="s">
        <v>323</v>
      </c>
      <c r="L68" s="71" t="s">
        <v>223</v>
      </c>
      <c r="M68" s="71" t="s">
        <v>324</v>
      </c>
      <c r="N68" s="71" t="s">
        <v>324</v>
      </c>
      <c r="O68" s="69"/>
      <c r="P68" s="69"/>
      <c r="Q68" s="73"/>
      <c r="R68" s="71" t="s">
        <v>323</v>
      </c>
      <c r="S68" s="71" t="s">
        <v>223</v>
      </c>
      <c r="T68" s="71" t="s">
        <v>324</v>
      </c>
      <c r="U68" s="71" t="s">
        <v>324</v>
      </c>
      <c r="V68" s="69"/>
      <c r="W68" s="69"/>
      <c r="X68" s="73"/>
      <c r="Y68" s="71" t="s">
        <v>323</v>
      </c>
      <c r="Z68" s="71" t="s">
        <v>223</v>
      </c>
      <c r="AA68" s="71" t="s">
        <v>324</v>
      </c>
      <c r="AB68" s="71" t="s">
        <v>324</v>
      </c>
      <c r="AC68" s="69"/>
      <c r="AE68" s="77"/>
      <c r="AF68" s="77"/>
      <c r="AG68" s="77"/>
      <c r="AH68" s="77"/>
      <c r="AI68" s="77"/>
      <c r="AJ68" s="77"/>
      <c r="AK68" s="77"/>
      <c r="AL68" s="77"/>
      <c r="AM68" s="77"/>
      <c r="AN68" s="77"/>
      <c r="AO68" s="77"/>
      <c r="AP68" s="77"/>
      <c r="AQ68" s="77"/>
    </row>
    <row r="69" spans="1:43" ht="1.5" customHeight="1" x14ac:dyDescent="0.2">
      <c r="AE69" s="79"/>
      <c r="AF69" s="79"/>
      <c r="AG69" s="79"/>
      <c r="AH69" s="80"/>
      <c r="AI69" s="78"/>
      <c r="AJ69" s="78"/>
      <c r="AK69" s="78"/>
      <c r="AL69" s="78"/>
      <c r="AM69" s="78"/>
      <c r="AN69" s="78"/>
      <c r="AO69" s="78"/>
      <c r="AP69" s="78"/>
      <c r="AQ69" s="78"/>
    </row>
    <row r="70" spans="1:43" ht="15" x14ac:dyDescent="0.3">
      <c r="B70" s="67"/>
    </row>
    <row r="71" spans="1:43" ht="18" x14ac:dyDescent="0.25">
      <c r="A71" s="82" t="s">
        <v>422</v>
      </c>
    </row>
    <row r="72" spans="1:43" x14ac:dyDescent="0.2">
      <c r="A72" s="83"/>
      <c r="V72" s="83"/>
      <c r="AF72" s="83"/>
      <c r="AG72" s="83"/>
      <c r="AH72" s="83"/>
    </row>
    <row r="73" spans="1:43" x14ac:dyDescent="0.2">
      <c r="A73" s="83" t="s">
        <v>321</v>
      </c>
      <c r="B73" s="66" t="str">
        <f>VLOOKUP(1010,LANGUAGE_DB,2,FALSE)</f>
        <v>Vertraulichkeit</v>
      </c>
      <c r="V73" s="83"/>
      <c r="AD73" s="83"/>
      <c r="AE73" s="83"/>
      <c r="AF73" s="83"/>
      <c r="AG73" s="83"/>
      <c r="AH73" s="83"/>
    </row>
    <row r="74" spans="1:43" x14ac:dyDescent="0.2">
      <c r="A74" s="83" t="s">
        <v>330</v>
      </c>
      <c r="B74" s="66" t="str">
        <f>VLOOKUP(1011,LANGUAGE_DB,2,FALSE)</f>
        <v>Integrität</v>
      </c>
      <c r="V74" s="83"/>
      <c r="AD74" s="83"/>
      <c r="AE74" s="83"/>
      <c r="AF74" s="83"/>
      <c r="AG74" s="83"/>
      <c r="AH74" s="83"/>
    </row>
    <row r="75" spans="1:43" x14ac:dyDescent="0.2">
      <c r="A75" s="83" t="s">
        <v>223</v>
      </c>
      <c r="B75" s="66" t="str">
        <f>VLOOKUP(1012,LANGUAGE_DB,2,FALSE)</f>
        <v>Verfügbarkeit</v>
      </c>
      <c r="V75" s="83"/>
      <c r="AD75" s="83"/>
      <c r="AE75" s="83"/>
      <c r="AF75" s="83"/>
      <c r="AG75" s="83"/>
      <c r="AH75" s="83"/>
    </row>
    <row r="76" spans="1:43" x14ac:dyDescent="0.2">
      <c r="A76" s="83"/>
      <c r="V76" s="83"/>
      <c r="AF76" s="83"/>
      <c r="AG76" s="83"/>
      <c r="AH76" s="83"/>
    </row>
    <row r="77" spans="1:43" ht="18" x14ac:dyDescent="0.25">
      <c r="A77" s="82" t="s">
        <v>343</v>
      </c>
    </row>
    <row r="78" spans="1:43" ht="15" x14ac:dyDescent="0.3">
      <c r="B78" s="67"/>
    </row>
    <row r="79" spans="1:43" x14ac:dyDescent="0.2">
      <c r="A79" s="95">
        <v>1</v>
      </c>
      <c r="B79" s="66" t="str">
        <f>IF(AD79="","",IF(Language_chosen=0,AD79,AE79))</f>
        <v>Unfall</v>
      </c>
      <c r="AD79" s="83" t="s">
        <v>344</v>
      </c>
      <c r="AE79" s="83" t="s">
        <v>347</v>
      </c>
    </row>
    <row r="80" spans="1:43" x14ac:dyDescent="0.2">
      <c r="A80" s="96">
        <v>2</v>
      </c>
      <c r="B80" s="66" t="str">
        <f>IF(AD80="","",IF(Language_chosen=0,AD80,AE80))</f>
        <v>Fehler</v>
      </c>
      <c r="AD80" s="83" t="s">
        <v>345</v>
      </c>
      <c r="AE80" s="83" t="s">
        <v>348</v>
      </c>
    </row>
    <row r="81" spans="1:34" x14ac:dyDescent="0.2">
      <c r="A81" s="96">
        <v>3</v>
      </c>
      <c r="B81" s="66" t="str">
        <f>IF(AD81="","",IF(Language_chosen=0,AD81,AE81))</f>
        <v>willentliche Aktion</v>
      </c>
      <c r="AD81" s="83" t="s">
        <v>346</v>
      </c>
      <c r="AE81" s="83" t="s">
        <v>349</v>
      </c>
    </row>
    <row r="82" spans="1:34" ht="15" x14ac:dyDescent="0.3">
      <c r="B82" s="67"/>
    </row>
    <row r="83" spans="1:34" ht="18" x14ac:dyDescent="0.25">
      <c r="A83" s="82" t="s">
        <v>415</v>
      </c>
      <c r="V83" s="82"/>
      <c r="AD83" s="82" t="s">
        <v>416</v>
      </c>
    </row>
    <row r="84" spans="1:34" ht="12.75" customHeight="1" x14ac:dyDescent="0.25">
      <c r="A84" s="82"/>
    </row>
    <row r="86" spans="1:34" x14ac:dyDescent="0.2">
      <c r="A86" s="83" t="s">
        <v>357</v>
      </c>
      <c r="B86" s="66">
        <v>1</v>
      </c>
      <c r="V86" s="83"/>
      <c r="AF86" s="83" t="s">
        <v>417</v>
      </c>
      <c r="AG86" s="83" t="s">
        <v>321</v>
      </c>
      <c r="AH86" s="83" t="s">
        <v>323</v>
      </c>
    </row>
    <row r="87" spans="1:34" x14ac:dyDescent="0.2">
      <c r="A87" s="83" t="s">
        <v>358</v>
      </c>
      <c r="B87" s="66">
        <v>1</v>
      </c>
      <c r="V87" s="83"/>
      <c r="AD87" s="66" t="str">
        <f>CONCATENATE("A",$AF$86,AF87,$AG$86,AG87,$AH$86,AH87)</f>
        <v>AII1C1P1</v>
      </c>
      <c r="AE87" s="66">
        <v>1</v>
      </c>
      <c r="AF87" s="66">
        <v>1</v>
      </c>
      <c r="AG87" s="66">
        <v>1</v>
      </c>
      <c r="AH87" s="66">
        <v>1</v>
      </c>
    </row>
    <row r="88" spans="1:34" x14ac:dyDescent="0.2">
      <c r="A88" s="83" t="s">
        <v>359</v>
      </c>
      <c r="B88" s="66">
        <v>1</v>
      </c>
      <c r="V88" s="83"/>
      <c r="AD88" s="66" t="str">
        <f t="shared" ref="AD88:AD150" si="0">CONCATENATE("A",$AF$86,AF88,$AG$86,AG88,$AH$86,AH88)</f>
        <v>AII1C1P2</v>
      </c>
      <c r="AE88" s="66">
        <v>1</v>
      </c>
      <c r="AF88" s="66">
        <v>1</v>
      </c>
      <c r="AG88" s="66">
        <v>1</v>
      </c>
      <c r="AH88" s="66">
        <v>2</v>
      </c>
    </row>
    <row r="89" spans="1:34" x14ac:dyDescent="0.2">
      <c r="A89" s="83" t="s">
        <v>360</v>
      </c>
      <c r="B89" s="66">
        <v>1</v>
      </c>
      <c r="V89" s="83"/>
      <c r="AD89" s="66" t="str">
        <f t="shared" si="0"/>
        <v>AII1C1P3</v>
      </c>
      <c r="AE89" s="66">
        <v>1</v>
      </c>
      <c r="AF89" s="66">
        <v>1</v>
      </c>
      <c r="AG89" s="66">
        <v>1</v>
      </c>
      <c r="AH89" s="66">
        <v>3</v>
      </c>
    </row>
    <row r="90" spans="1:34" x14ac:dyDescent="0.2">
      <c r="A90" s="83" t="s">
        <v>361</v>
      </c>
      <c r="B90" s="66">
        <v>2</v>
      </c>
      <c r="V90" s="83"/>
      <c r="AD90" s="66" t="str">
        <f t="shared" si="0"/>
        <v>AII1C1P4</v>
      </c>
      <c r="AE90" s="66">
        <v>1</v>
      </c>
      <c r="AF90" s="66">
        <v>1</v>
      </c>
      <c r="AG90" s="66">
        <v>1</v>
      </c>
      <c r="AH90" s="66">
        <v>4</v>
      </c>
    </row>
    <row r="91" spans="1:34" x14ac:dyDescent="0.2">
      <c r="A91" s="83" t="s">
        <v>362</v>
      </c>
      <c r="B91" s="66">
        <v>2</v>
      </c>
      <c r="V91" s="83"/>
      <c r="AD91" s="66" t="str">
        <f t="shared" si="0"/>
        <v>AII1C2P1</v>
      </c>
      <c r="AE91" s="66">
        <v>1</v>
      </c>
      <c r="AF91" s="66">
        <v>1</v>
      </c>
      <c r="AG91" s="66">
        <v>2</v>
      </c>
      <c r="AH91" s="66">
        <v>1</v>
      </c>
    </row>
    <row r="92" spans="1:34" x14ac:dyDescent="0.2">
      <c r="A92" s="83" t="s">
        <v>363</v>
      </c>
      <c r="B92" s="66">
        <v>2</v>
      </c>
      <c r="V92" s="83"/>
      <c r="AD92" s="66" t="str">
        <f t="shared" si="0"/>
        <v>AII1C2P2</v>
      </c>
      <c r="AE92" s="66">
        <v>1</v>
      </c>
      <c r="AF92" s="66">
        <v>1</v>
      </c>
      <c r="AG92" s="66">
        <v>2</v>
      </c>
      <c r="AH92" s="66">
        <v>2</v>
      </c>
    </row>
    <row r="93" spans="1:34" x14ac:dyDescent="0.2">
      <c r="A93" s="83" t="s">
        <v>364</v>
      </c>
      <c r="B93" s="66">
        <v>1</v>
      </c>
      <c r="V93" s="83"/>
      <c r="AD93" s="66" t="str">
        <f t="shared" si="0"/>
        <v>AII1C2P3</v>
      </c>
      <c r="AE93" s="66">
        <v>1</v>
      </c>
      <c r="AF93" s="66">
        <v>1</v>
      </c>
      <c r="AG93" s="66">
        <v>2</v>
      </c>
      <c r="AH93" s="66">
        <v>3</v>
      </c>
    </row>
    <row r="94" spans="1:34" x14ac:dyDescent="0.2">
      <c r="A94" s="83" t="s">
        <v>365</v>
      </c>
      <c r="B94" s="66">
        <v>3</v>
      </c>
      <c r="V94" s="83"/>
      <c r="AD94" s="66" t="str">
        <f t="shared" si="0"/>
        <v>AII1C2P4</v>
      </c>
      <c r="AE94" s="66">
        <v>1</v>
      </c>
      <c r="AF94" s="66">
        <v>1</v>
      </c>
      <c r="AG94" s="66">
        <v>2</v>
      </c>
      <c r="AH94" s="66">
        <v>4</v>
      </c>
    </row>
    <row r="95" spans="1:34" x14ac:dyDescent="0.2">
      <c r="A95" s="83" t="s">
        <v>366</v>
      </c>
      <c r="B95" s="66">
        <v>3</v>
      </c>
      <c r="V95" s="83"/>
      <c r="AD95" s="66" t="str">
        <f t="shared" si="0"/>
        <v>AII1C3P1</v>
      </c>
      <c r="AE95" s="66">
        <v>1</v>
      </c>
      <c r="AF95" s="66">
        <v>1</v>
      </c>
      <c r="AG95" s="66">
        <v>3</v>
      </c>
      <c r="AH95" s="66">
        <v>1</v>
      </c>
    </row>
    <row r="96" spans="1:34" x14ac:dyDescent="0.2">
      <c r="A96" s="83" t="s">
        <v>367</v>
      </c>
      <c r="B96" s="66">
        <v>2</v>
      </c>
      <c r="V96" s="83"/>
      <c r="AD96" s="66" t="str">
        <f t="shared" si="0"/>
        <v>AII1C3P2</v>
      </c>
      <c r="AE96" s="66">
        <v>1</v>
      </c>
      <c r="AF96" s="66">
        <v>1</v>
      </c>
      <c r="AG96" s="66">
        <v>3</v>
      </c>
      <c r="AH96" s="66">
        <v>2</v>
      </c>
    </row>
    <row r="97" spans="1:34" x14ac:dyDescent="0.2">
      <c r="A97" s="83" t="s">
        <v>368</v>
      </c>
      <c r="B97" s="66">
        <v>1</v>
      </c>
      <c r="V97" s="83"/>
      <c r="AD97" s="66" t="str">
        <f t="shared" si="0"/>
        <v>AII1C3P3</v>
      </c>
      <c r="AE97" s="66">
        <v>1</v>
      </c>
      <c r="AF97" s="66">
        <v>1</v>
      </c>
      <c r="AG97" s="66">
        <v>3</v>
      </c>
      <c r="AH97" s="66">
        <v>3</v>
      </c>
    </row>
    <row r="98" spans="1:34" x14ac:dyDescent="0.2">
      <c r="A98" s="83" t="s">
        <v>369</v>
      </c>
      <c r="B98" s="66">
        <v>4</v>
      </c>
      <c r="V98" s="83"/>
      <c r="AD98" s="66" t="str">
        <f t="shared" si="0"/>
        <v>AII1C3P4</v>
      </c>
      <c r="AE98" s="66">
        <v>1</v>
      </c>
      <c r="AF98" s="66">
        <v>1</v>
      </c>
      <c r="AG98" s="66">
        <v>3</v>
      </c>
      <c r="AH98" s="66">
        <v>4</v>
      </c>
    </row>
    <row r="99" spans="1:34" x14ac:dyDescent="0.2">
      <c r="A99" s="83" t="s">
        <v>370</v>
      </c>
      <c r="B99" s="66">
        <v>4</v>
      </c>
      <c r="V99" s="83"/>
      <c r="AD99" s="66" t="str">
        <f t="shared" si="0"/>
        <v>AII1C4P1</v>
      </c>
      <c r="AE99" s="66">
        <v>1</v>
      </c>
      <c r="AF99" s="66">
        <v>1</v>
      </c>
      <c r="AG99" s="66">
        <v>4</v>
      </c>
      <c r="AH99" s="66">
        <v>1</v>
      </c>
    </row>
    <row r="100" spans="1:34" x14ac:dyDescent="0.2">
      <c r="A100" s="83" t="s">
        <v>371</v>
      </c>
      <c r="B100" s="66">
        <v>2</v>
      </c>
      <c r="V100" s="83"/>
      <c r="AD100" s="66" t="str">
        <f t="shared" si="0"/>
        <v>AII1C4P2</v>
      </c>
      <c r="AE100" s="66">
        <v>1</v>
      </c>
      <c r="AF100" s="66">
        <v>1</v>
      </c>
      <c r="AG100" s="66">
        <v>4</v>
      </c>
      <c r="AH100" s="66">
        <v>2</v>
      </c>
    </row>
    <row r="101" spans="1:34" x14ac:dyDescent="0.2">
      <c r="A101" s="83" t="s">
        <v>372</v>
      </c>
      <c r="B101" s="66">
        <v>1</v>
      </c>
      <c r="V101" s="83"/>
      <c r="AD101" s="66" t="str">
        <f t="shared" si="0"/>
        <v>AII1C4P3</v>
      </c>
      <c r="AE101" s="66">
        <v>1</v>
      </c>
      <c r="AF101" s="66">
        <v>1</v>
      </c>
      <c r="AG101" s="66">
        <v>4</v>
      </c>
      <c r="AH101" s="66">
        <v>3</v>
      </c>
    </row>
    <row r="102" spans="1:34" x14ac:dyDescent="0.2">
      <c r="V102" s="83"/>
      <c r="AD102" s="66" t="str">
        <f t="shared" si="0"/>
        <v>AII1C4P4</v>
      </c>
      <c r="AE102" s="66">
        <v>1</v>
      </c>
      <c r="AF102" s="66">
        <v>1</v>
      </c>
      <c r="AG102" s="66">
        <v>4</v>
      </c>
      <c r="AH102" s="66">
        <v>4</v>
      </c>
    </row>
    <row r="103" spans="1:34" x14ac:dyDescent="0.2">
      <c r="A103" s="83" t="s">
        <v>374</v>
      </c>
      <c r="B103" s="66">
        <v>1</v>
      </c>
      <c r="V103" s="83"/>
      <c r="AD103" s="66" t="str">
        <f t="shared" si="0"/>
        <v>AII2C1P1</v>
      </c>
      <c r="AE103" s="66">
        <v>2</v>
      </c>
      <c r="AF103" s="66">
        <v>2</v>
      </c>
      <c r="AG103" s="66">
        <v>1</v>
      </c>
      <c r="AH103" s="66">
        <v>1</v>
      </c>
    </row>
    <row r="104" spans="1:34" x14ac:dyDescent="0.2">
      <c r="A104" s="83" t="s">
        <v>375</v>
      </c>
      <c r="B104" s="66">
        <v>1</v>
      </c>
      <c r="V104" s="83"/>
      <c r="AD104" s="66" t="str">
        <f t="shared" si="0"/>
        <v>AII2C1P2</v>
      </c>
      <c r="AE104" s="66">
        <v>2</v>
      </c>
      <c r="AF104" s="66">
        <v>2</v>
      </c>
      <c r="AG104" s="66">
        <v>1</v>
      </c>
      <c r="AH104" s="66">
        <v>2</v>
      </c>
    </row>
    <row r="105" spans="1:34" x14ac:dyDescent="0.2">
      <c r="A105" s="83" t="s">
        <v>376</v>
      </c>
      <c r="B105" s="66">
        <v>1</v>
      </c>
      <c r="V105" s="83"/>
      <c r="AD105" s="66" t="str">
        <f t="shared" si="0"/>
        <v>AII2C1P3</v>
      </c>
      <c r="AE105" s="66">
        <v>2</v>
      </c>
      <c r="AF105" s="66">
        <v>2</v>
      </c>
      <c r="AG105" s="66">
        <v>1</v>
      </c>
      <c r="AH105" s="66">
        <v>3</v>
      </c>
    </row>
    <row r="106" spans="1:34" x14ac:dyDescent="0.2">
      <c r="A106" s="83" t="s">
        <v>377</v>
      </c>
      <c r="B106" s="66">
        <v>1</v>
      </c>
      <c r="V106" s="83"/>
      <c r="AD106" s="66" t="str">
        <f t="shared" si="0"/>
        <v>AII2C1P4</v>
      </c>
      <c r="AE106" s="66">
        <v>1</v>
      </c>
      <c r="AF106" s="66">
        <v>2</v>
      </c>
      <c r="AG106" s="66">
        <v>1</v>
      </c>
      <c r="AH106" s="66">
        <v>4</v>
      </c>
    </row>
    <row r="107" spans="1:34" x14ac:dyDescent="0.2">
      <c r="A107" s="83" t="s">
        <v>378</v>
      </c>
      <c r="B107" s="66">
        <v>2</v>
      </c>
      <c r="V107" s="83"/>
      <c r="AD107" s="66" t="str">
        <f t="shared" si="0"/>
        <v>AII2C2P1</v>
      </c>
      <c r="AE107" s="66">
        <v>2</v>
      </c>
      <c r="AF107" s="66">
        <v>2</v>
      </c>
      <c r="AG107" s="66">
        <v>2</v>
      </c>
      <c r="AH107" s="66">
        <v>1</v>
      </c>
    </row>
    <row r="108" spans="1:34" x14ac:dyDescent="0.2">
      <c r="A108" s="83" t="s">
        <v>379</v>
      </c>
      <c r="B108" s="66">
        <v>2</v>
      </c>
      <c r="V108" s="83"/>
      <c r="AD108" s="66" t="str">
        <f t="shared" si="0"/>
        <v>AII2C2P2</v>
      </c>
      <c r="AE108" s="66">
        <v>2</v>
      </c>
      <c r="AF108" s="66">
        <v>2</v>
      </c>
      <c r="AG108" s="66">
        <v>2</v>
      </c>
      <c r="AH108" s="66">
        <v>2</v>
      </c>
    </row>
    <row r="109" spans="1:34" x14ac:dyDescent="0.2">
      <c r="A109" s="83" t="s">
        <v>380</v>
      </c>
      <c r="B109" s="66">
        <v>2</v>
      </c>
      <c r="V109" s="83"/>
      <c r="AD109" s="66" t="str">
        <f t="shared" si="0"/>
        <v>AII2C2P3</v>
      </c>
      <c r="AE109" s="66">
        <v>2</v>
      </c>
      <c r="AF109" s="66">
        <v>2</v>
      </c>
      <c r="AG109" s="66">
        <v>2</v>
      </c>
      <c r="AH109" s="66">
        <v>3</v>
      </c>
    </row>
    <row r="110" spans="1:34" x14ac:dyDescent="0.2">
      <c r="A110" s="83" t="s">
        <v>381</v>
      </c>
      <c r="B110" s="66">
        <v>1</v>
      </c>
      <c r="V110" s="83"/>
      <c r="AD110" s="66" t="str">
        <f t="shared" si="0"/>
        <v>AII2C2P4</v>
      </c>
      <c r="AE110" s="66">
        <v>1</v>
      </c>
      <c r="AF110" s="66">
        <v>2</v>
      </c>
      <c r="AG110" s="66">
        <v>2</v>
      </c>
      <c r="AH110" s="66">
        <v>4</v>
      </c>
    </row>
    <row r="111" spans="1:34" x14ac:dyDescent="0.2">
      <c r="A111" s="83" t="s">
        <v>382</v>
      </c>
      <c r="B111" s="66">
        <v>3</v>
      </c>
      <c r="V111" s="83"/>
      <c r="AD111" s="66" t="str">
        <f t="shared" si="0"/>
        <v>AII2C3P1</v>
      </c>
      <c r="AE111" s="66">
        <v>2</v>
      </c>
      <c r="AF111" s="66">
        <v>2</v>
      </c>
      <c r="AG111" s="66">
        <v>3</v>
      </c>
      <c r="AH111" s="66">
        <v>1</v>
      </c>
    </row>
    <row r="112" spans="1:34" x14ac:dyDescent="0.2">
      <c r="A112" s="83" t="s">
        <v>383</v>
      </c>
      <c r="B112" s="66">
        <v>3</v>
      </c>
      <c r="V112" s="83"/>
      <c r="AD112" s="66" t="str">
        <f t="shared" si="0"/>
        <v>AII2C3P2</v>
      </c>
      <c r="AE112" s="66">
        <v>2</v>
      </c>
      <c r="AF112" s="66">
        <v>2</v>
      </c>
      <c r="AG112" s="66">
        <v>3</v>
      </c>
      <c r="AH112" s="66">
        <v>2</v>
      </c>
    </row>
    <row r="113" spans="1:34" x14ac:dyDescent="0.2">
      <c r="A113" s="83" t="s">
        <v>384</v>
      </c>
      <c r="B113" s="66">
        <v>2</v>
      </c>
      <c r="V113" s="83"/>
      <c r="AD113" s="66" t="str">
        <f t="shared" si="0"/>
        <v>AII2C3P3</v>
      </c>
      <c r="AE113" s="66">
        <v>1</v>
      </c>
      <c r="AF113" s="66">
        <v>2</v>
      </c>
      <c r="AG113" s="66">
        <v>3</v>
      </c>
      <c r="AH113" s="66">
        <v>3</v>
      </c>
    </row>
    <row r="114" spans="1:34" x14ac:dyDescent="0.2">
      <c r="A114" s="83" t="s">
        <v>385</v>
      </c>
      <c r="B114" s="66">
        <v>1</v>
      </c>
      <c r="V114" s="83"/>
      <c r="AD114" s="66" t="str">
        <f t="shared" si="0"/>
        <v>AII2C3P4</v>
      </c>
      <c r="AE114" s="66">
        <v>1</v>
      </c>
      <c r="AF114" s="66">
        <v>2</v>
      </c>
      <c r="AG114" s="66">
        <v>3</v>
      </c>
      <c r="AH114" s="66">
        <v>4</v>
      </c>
    </row>
    <row r="115" spans="1:34" x14ac:dyDescent="0.2">
      <c r="A115" s="83" t="s">
        <v>386</v>
      </c>
      <c r="B115" s="66">
        <v>4</v>
      </c>
      <c r="V115" s="83"/>
      <c r="AD115" s="66" t="str">
        <f t="shared" si="0"/>
        <v>AII2C4P1</v>
      </c>
      <c r="AE115" s="66">
        <v>2</v>
      </c>
      <c r="AF115" s="66">
        <v>2</v>
      </c>
      <c r="AG115" s="66">
        <v>4</v>
      </c>
      <c r="AH115" s="66">
        <v>1</v>
      </c>
    </row>
    <row r="116" spans="1:34" x14ac:dyDescent="0.2">
      <c r="A116" s="83" t="s">
        <v>387</v>
      </c>
      <c r="B116" s="66">
        <v>4</v>
      </c>
      <c r="V116" s="83"/>
      <c r="AD116" s="66" t="str">
        <f t="shared" si="0"/>
        <v>AII2C4P2</v>
      </c>
      <c r="AE116" s="66">
        <v>2</v>
      </c>
      <c r="AF116" s="66">
        <v>2</v>
      </c>
      <c r="AG116" s="66">
        <v>4</v>
      </c>
      <c r="AH116" s="66">
        <v>2</v>
      </c>
    </row>
    <row r="117" spans="1:34" x14ac:dyDescent="0.2">
      <c r="A117" s="83" t="s">
        <v>388</v>
      </c>
      <c r="B117" s="66">
        <v>2</v>
      </c>
      <c r="V117" s="83"/>
      <c r="AD117" s="66" t="str">
        <f t="shared" si="0"/>
        <v>AII2C4P3</v>
      </c>
      <c r="AE117" s="66">
        <v>1</v>
      </c>
      <c r="AF117" s="66">
        <v>2</v>
      </c>
      <c r="AG117" s="66">
        <v>4</v>
      </c>
      <c r="AH117" s="66">
        <v>3</v>
      </c>
    </row>
    <row r="118" spans="1:34" x14ac:dyDescent="0.2">
      <c r="A118" s="83" t="s">
        <v>389</v>
      </c>
      <c r="B118" s="66">
        <v>1</v>
      </c>
      <c r="V118" s="83"/>
      <c r="AD118" s="66" t="str">
        <f t="shared" si="0"/>
        <v>AII2C4P4</v>
      </c>
      <c r="AE118" s="66">
        <v>1</v>
      </c>
      <c r="AF118" s="66">
        <v>2</v>
      </c>
      <c r="AG118" s="66">
        <v>4</v>
      </c>
      <c r="AH118" s="66">
        <v>4</v>
      </c>
    </row>
    <row r="119" spans="1:34" x14ac:dyDescent="0.2">
      <c r="A119" s="83" t="s">
        <v>418</v>
      </c>
      <c r="I119" s="83" t="s">
        <v>333</v>
      </c>
      <c r="J119" s="83" t="s">
        <v>329</v>
      </c>
      <c r="K119" s="83" t="s">
        <v>323</v>
      </c>
      <c r="L119" s="83"/>
      <c r="V119" s="83"/>
      <c r="AD119" s="66" t="str">
        <f t="shared" si="0"/>
        <v>AII3C1P1</v>
      </c>
      <c r="AE119" s="66">
        <v>3</v>
      </c>
      <c r="AF119" s="66">
        <v>3</v>
      </c>
      <c r="AG119" s="66">
        <v>1</v>
      </c>
      <c r="AH119" s="66">
        <v>1</v>
      </c>
    </row>
    <row r="120" spans="1:34" x14ac:dyDescent="0.2">
      <c r="A120" s="83" t="str">
        <f>CONCATENATE("V",$I$119,I120,$J$119,J120,$K$119,K120)</f>
        <v>VE1D1P1</v>
      </c>
      <c r="B120" s="66">
        <v>1</v>
      </c>
      <c r="I120" s="66">
        <v>1</v>
      </c>
      <c r="J120" s="66">
        <v>1</v>
      </c>
      <c r="K120" s="66">
        <v>1</v>
      </c>
      <c r="V120" s="83"/>
      <c r="AD120" s="66" t="str">
        <f t="shared" si="0"/>
        <v>AII3C1P2</v>
      </c>
      <c r="AE120" s="66">
        <v>3</v>
      </c>
      <c r="AF120" s="66">
        <v>3</v>
      </c>
      <c r="AG120" s="66">
        <v>1</v>
      </c>
      <c r="AH120" s="66">
        <v>2</v>
      </c>
    </row>
    <row r="121" spans="1:34" x14ac:dyDescent="0.2">
      <c r="A121" s="83" t="str">
        <f t="shared" ref="A121:A183" si="1">CONCATENATE("V",$I$119,I121,$J$119,J121,$K$119,K121)</f>
        <v>VE1D1P2</v>
      </c>
      <c r="B121" s="66">
        <v>1</v>
      </c>
      <c r="I121" s="66">
        <v>1</v>
      </c>
      <c r="J121" s="66">
        <v>1</v>
      </c>
      <c r="K121" s="66">
        <v>2</v>
      </c>
      <c r="V121" s="83"/>
      <c r="AD121" s="66" t="str">
        <f t="shared" si="0"/>
        <v>AII3C1P3</v>
      </c>
      <c r="AE121" s="66">
        <v>2</v>
      </c>
      <c r="AF121" s="66">
        <v>3</v>
      </c>
      <c r="AG121" s="66">
        <v>1</v>
      </c>
      <c r="AH121" s="66">
        <v>3</v>
      </c>
    </row>
    <row r="122" spans="1:34" x14ac:dyDescent="0.2">
      <c r="A122" s="83" t="str">
        <f t="shared" si="1"/>
        <v>VE1D1P3</v>
      </c>
      <c r="B122" s="66">
        <v>1</v>
      </c>
      <c r="I122" s="66">
        <v>1</v>
      </c>
      <c r="J122" s="66">
        <v>1</v>
      </c>
      <c r="K122" s="66">
        <v>3</v>
      </c>
      <c r="V122" s="83"/>
      <c r="AD122" s="66" t="str">
        <f t="shared" si="0"/>
        <v>AII3C1P4</v>
      </c>
      <c r="AE122" s="66">
        <v>1</v>
      </c>
      <c r="AF122" s="66">
        <v>3</v>
      </c>
      <c r="AG122" s="66">
        <v>1</v>
      </c>
      <c r="AH122" s="66">
        <v>4</v>
      </c>
    </row>
    <row r="123" spans="1:34" x14ac:dyDescent="0.2">
      <c r="A123" s="83" t="str">
        <f t="shared" si="1"/>
        <v>VE1D1P4</v>
      </c>
      <c r="B123" s="66">
        <v>1</v>
      </c>
      <c r="I123" s="66">
        <v>1</v>
      </c>
      <c r="J123" s="66">
        <v>1</v>
      </c>
      <c r="K123" s="66">
        <v>4</v>
      </c>
      <c r="V123" s="83"/>
      <c r="AD123" s="66" t="str">
        <f t="shared" si="0"/>
        <v>AII3C2P1</v>
      </c>
      <c r="AE123" s="66">
        <v>3</v>
      </c>
      <c r="AF123" s="66">
        <v>3</v>
      </c>
      <c r="AG123" s="66">
        <v>2</v>
      </c>
      <c r="AH123" s="66">
        <v>1</v>
      </c>
    </row>
    <row r="124" spans="1:34" x14ac:dyDescent="0.2">
      <c r="A124" s="83" t="str">
        <f t="shared" si="1"/>
        <v>VE1D2P1</v>
      </c>
      <c r="B124" s="66">
        <v>1</v>
      </c>
      <c r="I124" s="66">
        <v>1</v>
      </c>
      <c r="J124" s="66">
        <v>2</v>
      </c>
      <c r="K124" s="66">
        <v>1</v>
      </c>
      <c r="V124" s="83"/>
      <c r="AD124" s="66" t="str">
        <f t="shared" si="0"/>
        <v>AII3C2P2</v>
      </c>
      <c r="AE124" s="66">
        <v>3</v>
      </c>
      <c r="AF124" s="66">
        <v>3</v>
      </c>
      <c r="AG124" s="66">
        <v>2</v>
      </c>
      <c r="AH124" s="66">
        <v>2</v>
      </c>
    </row>
    <row r="125" spans="1:34" x14ac:dyDescent="0.2">
      <c r="A125" s="83" t="str">
        <f t="shared" si="1"/>
        <v>VE1D2P2</v>
      </c>
      <c r="B125" s="66">
        <v>1</v>
      </c>
      <c r="I125" s="66">
        <v>1</v>
      </c>
      <c r="J125" s="66">
        <v>2</v>
      </c>
      <c r="K125" s="66">
        <v>2</v>
      </c>
      <c r="V125" s="83"/>
      <c r="AD125" s="66" t="str">
        <f t="shared" si="0"/>
        <v>AII3C2P3</v>
      </c>
      <c r="AE125" s="66">
        <v>2</v>
      </c>
      <c r="AF125" s="66">
        <v>3</v>
      </c>
      <c r="AG125" s="66">
        <v>2</v>
      </c>
      <c r="AH125" s="66">
        <v>3</v>
      </c>
    </row>
    <row r="126" spans="1:34" x14ac:dyDescent="0.2">
      <c r="A126" s="83" t="str">
        <f t="shared" si="1"/>
        <v>VE1D2P3</v>
      </c>
      <c r="B126" s="66">
        <v>1</v>
      </c>
      <c r="I126" s="66">
        <v>1</v>
      </c>
      <c r="J126" s="66">
        <v>2</v>
      </c>
      <c r="K126" s="66">
        <v>3</v>
      </c>
      <c r="V126" s="83"/>
      <c r="AD126" s="66" t="str">
        <f t="shared" si="0"/>
        <v>AII3C2P4</v>
      </c>
      <c r="AE126" s="66">
        <v>1</v>
      </c>
      <c r="AF126" s="66">
        <v>3</v>
      </c>
      <c r="AG126" s="66">
        <v>2</v>
      </c>
      <c r="AH126" s="66">
        <v>4</v>
      </c>
    </row>
    <row r="127" spans="1:34" x14ac:dyDescent="0.2">
      <c r="A127" s="83" t="str">
        <f t="shared" si="1"/>
        <v>VE1D2P4</v>
      </c>
      <c r="B127" s="66">
        <v>1</v>
      </c>
      <c r="I127" s="66">
        <v>1</v>
      </c>
      <c r="J127" s="66">
        <v>2</v>
      </c>
      <c r="K127" s="66">
        <v>4</v>
      </c>
      <c r="V127" s="83"/>
      <c r="AD127" s="66" t="str">
        <f t="shared" si="0"/>
        <v>AII3C3P1</v>
      </c>
      <c r="AE127" s="66">
        <v>3</v>
      </c>
      <c r="AF127" s="66">
        <v>3</v>
      </c>
      <c r="AG127" s="66">
        <v>3</v>
      </c>
      <c r="AH127" s="66">
        <v>1</v>
      </c>
    </row>
    <row r="128" spans="1:34" x14ac:dyDescent="0.2">
      <c r="A128" s="83" t="str">
        <f t="shared" si="1"/>
        <v>VE1D3P1</v>
      </c>
      <c r="B128" s="66">
        <v>1</v>
      </c>
      <c r="I128" s="66">
        <v>1</v>
      </c>
      <c r="J128" s="66">
        <v>3</v>
      </c>
      <c r="K128" s="66">
        <v>1</v>
      </c>
      <c r="V128" s="83"/>
      <c r="AD128" s="66" t="str">
        <f t="shared" si="0"/>
        <v>AII3C3P2</v>
      </c>
      <c r="AE128" s="66">
        <v>2</v>
      </c>
      <c r="AF128" s="66">
        <v>3</v>
      </c>
      <c r="AG128" s="66">
        <v>3</v>
      </c>
      <c r="AH128" s="66">
        <v>2</v>
      </c>
    </row>
    <row r="129" spans="1:34" x14ac:dyDescent="0.2">
      <c r="A129" s="83" t="str">
        <f t="shared" si="1"/>
        <v>VE1D3P2</v>
      </c>
      <c r="B129" s="66">
        <v>1</v>
      </c>
      <c r="I129" s="66">
        <v>1</v>
      </c>
      <c r="J129" s="66">
        <v>3</v>
      </c>
      <c r="K129" s="66">
        <v>2</v>
      </c>
      <c r="V129" s="83"/>
      <c r="AD129" s="66" t="str">
        <f t="shared" si="0"/>
        <v>AII3C3P3</v>
      </c>
      <c r="AE129" s="66">
        <v>2</v>
      </c>
      <c r="AF129" s="66">
        <v>3</v>
      </c>
      <c r="AG129" s="66">
        <v>3</v>
      </c>
      <c r="AH129" s="66">
        <v>3</v>
      </c>
    </row>
    <row r="130" spans="1:34" x14ac:dyDescent="0.2">
      <c r="A130" s="83" t="str">
        <f t="shared" si="1"/>
        <v>VE1D3P3</v>
      </c>
      <c r="B130" s="66">
        <v>1</v>
      </c>
      <c r="I130" s="66">
        <v>1</v>
      </c>
      <c r="J130" s="66">
        <v>3</v>
      </c>
      <c r="K130" s="66">
        <v>3</v>
      </c>
      <c r="V130" s="83"/>
      <c r="AD130" s="66" t="str">
        <f t="shared" si="0"/>
        <v>AII3C3P4</v>
      </c>
      <c r="AE130" s="66">
        <v>1</v>
      </c>
      <c r="AF130" s="66">
        <v>3</v>
      </c>
      <c r="AG130" s="66">
        <v>3</v>
      </c>
      <c r="AH130" s="66">
        <v>4</v>
      </c>
    </row>
    <row r="131" spans="1:34" x14ac:dyDescent="0.2">
      <c r="A131" s="83" t="str">
        <f t="shared" si="1"/>
        <v>VE1D3P4</v>
      </c>
      <c r="B131" s="66">
        <v>1</v>
      </c>
      <c r="I131" s="66">
        <v>1</v>
      </c>
      <c r="J131" s="66">
        <v>3</v>
      </c>
      <c r="K131" s="66">
        <v>4</v>
      </c>
      <c r="V131" s="83"/>
      <c r="AD131" s="66" t="str">
        <f t="shared" si="0"/>
        <v>AII3C4P1</v>
      </c>
      <c r="AE131" s="66">
        <v>2</v>
      </c>
      <c r="AF131" s="66">
        <v>3</v>
      </c>
      <c r="AG131" s="66">
        <v>4</v>
      </c>
      <c r="AH131" s="66">
        <v>1</v>
      </c>
    </row>
    <row r="132" spans="1:34" x14ac:dyDescent="0.2">
      <c r="A132" s="83" t="str">
        <f t="shared" si="1"/>
        <v>VE1D4P1</v>
      </c>
      <c r="B132" s="66">
        <v>1</v>
      </c>
      <c r="I132" s="66">
        <v>1</v>
      </c>
      <c r="J132" s="66">
        <v>4</v>
      </c>
      <c r="K132" s="66">
        <v>1</v>
      </c>
      <c r="V132" s="83"/>
      <c r="AD132" s="66" t="str">
        <f t="shared" si="0"/>
        <v>AII3C4P2</v>
      </c>
      <c r="AE132" s="66">
        <v>2</v>
      </c>
      <c r="AF132" s="66">
        <v>3</v>
      </c>
      <c r="AG132" s="66">
        <v>4</v>
      </c>
      <c r="AH132" s="66">
        <v>2</v>
      </c>
    </row>
    <row r="133" spans="1:34" x14ac:dyDescent="0.2">
      <c r="A133" s="83" t="str">
        <f t="shared" si="1"/>
        <v>VE1D4P2</v>
      </c>
      <c r="B133" s="66">
        <v>1</v>
      </c>
      <c r="I133" s="66">
        <v>1</v>
      </c>
      <c r="J133" s="66">
        <v>4</v>
      </c>
      <c r="K133" s="66">
        <v>2</v>
      </c>
      <c r="V133" s="83"/>
      <c r="AD133" s="66" t="str">
        <f t="shared" si="0"/>
        <v>AII3C4P3</v>
      </c>
      <c r="AE133" s="66">
        <v>1</v>
      </c>
      <c r="AF133" s="66">
        <v>3</v>
      </c>
      <c r="AG133" s="66">
        <v>4</v>
      </c>
      <c r="AH133" s="66">
        <v>3</v>
      </c>
    </row>
    <row r="134" spans="1:34" x14ac:dyDescent="0.2">
      <c r="A134" s="83" t="str">
        <f t="shared" si="1"/>
        <v>VE1D4P3</v>
      </c>
      <c r="B134" s="66">
        <v>1</v>
      </c>
      <c r="I134" s="66">
        <v>1</v>
      </c>
      <c r="J134" s="66">
        <v>4</v>
      </c>
      <c r="K134" s="66">
        <v>3</v>
      </c>
      <c r="V134" s="83"/>
      <c r="AD134" s="66" t="str">
        <f t="shared" si="0"/>
        <v>AII3C4P4</v>
      </c>
      <c r="AE134" s="66">
        <v>1</v>
      </c>
      <c r="AF134" s="66">
        <v>3</v>
      </c>
      <c r="AG134" s="66">
        <v>4</v>
      </c>
      <c r="AH134" s="66">
        <v>4</v>
      </c>
    </row>
    <row r="135" spans="1:34" x14ac:dyDescent="0.2">
      <c r="A135" s="83" t="str">
        <f t="shared" si="1"/>
        <v>VE1D4P4</v>
      </c>
      <c r="B135" s="66">
        <v>1</v>
      </c>
      <c r="I135" s="66">
        <v>1</v>
      </c>
      <c r="J135" s="66">
        <v>4</v>
      </c>
      <c r="K135" s="66">
        <v>4</v>
      </c>
      <c r="V135" s="83"/>
      <c r="AD135" s="66" t="str">
        <f t="shared" si="0"/>
        <v>AII4C1P1</v>
      </c>
      <c r="AE135" s="66">
        <v>4</v>
      </c>
      <c r="AF135" s="66">
        <v>4</v>
      </c>
      <c r="AG135" s="66">
        <v>1</v>
      </c>
      <c r="AH135" s="66">
        <v>1</v>
      </c>
    </row>
    <row r="136" spans="1:34" x14ac:dyDescent="0.2">
      <c r="A136" s="83" t="str">
        <f t="shared" si="1"/>
        <v>VE2D1P1</v>
      </c>
      <c r="B136" s="66">
        <v>2</v>
      </c>
      <c r="I136" s="66">
        <v>2</v>
      </c>
      <c r="J136" s="66">
        <v>1</v>
      </c>
      <c r="K136" s="66">
        <v>1</v>
      </c>
      <c r="V136" s="83"/>
      <c r="AD136" s="66" t="str">
        <f t="shared" si="0"/>
        <v>AII4C1P2</v>
      </c>
      <c r="AE136" s="66">
        <v>3</v>
      </c>
      <c r="AF136" s="66">
        <v>4</v>
      </c>
      <c r="AG136" s="66">
        <v>1</v>
      </c>
      <c r="AH136" s="66">
        <v>2</v>
      </c>
    </row>
    <row r="137" spans="1:34" x14ac:dyDescent="0.2">
      <c r="A137" s="83" t="str">
        <f t="shared" si="1"/>
        <v>VE2D1P2</v>
      </c>
      <c r="B137" s="66">
        <v>2</v>
      </c>
      <c r="I137" s="66">
        <v>2</v>
      </c>
      <c r="J137" s="66">
        <v>1</v>
      </c>
      <c r="K137" s="66">
        <v>2</v>
      </c>
      <c r="V137" s="83"/>
      <c r="AD137" s="66" t="str">
        <f t="shared" si="0"/>
        <v>AII4C1P3</v>
      </c>
      <c r="AE137" s="66">
        <v>2</v>
      </c>
      <c r="AF137" s="66">
        <v>4</v>
      </c>
      <c r="AG137" s="66">
        <v>1</v>
      </c>
      <c r="AH137" s="66">
        <v>3</v>
      </c>
    </row>
    <row r="138" spans="1:34" x14ac:dyDescent="0.2">
      <c r="A138" s="83" t="str">
        <f t="shared" si="1"/>
        <v>VE2D1P3</v>
      </c>
      <c r="B138" s="66">
        <v>2</v>
      </c>
      <c r="I138" s="66">
        <v>2</v>
      </c>
      <c r="J138" s="66">
        <v>1</v>
      </c>
      <c r="K138" s="66">
        <v>3</v>
      </c>
      <c r="V138" s="83"/>
      <c r="AD138" s="66" t="str">
        <f t="shared" si="0"/>
        <v>AII4C1P4</v>
      </c>
      <c r="AE138" s="66">
        <v>1</v>
      </c>
      <c r="AF138" s="66">
        <v>4</v>
      </c>
      <c r="AG138" s="66">
        <v>1</v>
      </c>
      <c r="AH138" s="66">
        <v>4</v>
      </c>
    </row>
    <row r="139" spans="1:34" x14ac:dyDescent="0.2">
      <c r="A139" s="83" t="str">
        <f t="shared" si="1"/>
        <v>VE2D1P4</v>
      </c>
      <c r="B139" s="66">
        <v>1</v>
      </c>
      <c r="I139" s="66">
        <v>2</v>
      </c>
      <c r="J139" s="66">
        <v>1</v>
      </c>
      <c r="K139" s="66">
        <v>4</v>
      </c>
      <c r="V139" s="83"/>
      <c r="AD139" s="66" t="str">
        <f t="shared" si="0"/>
        <v>AII4C2P1</v>
      </c>
      <c r="AE139" s="66">
        <v>4</v>
      </c>
      <c r="AF139" s="66">
        <v>4</v>
      </c>
      <c r="AG139" s="66">
        <v>2</v>
      </c>
      <c r="AH139" s="66">
        <v>1</v>
      </c>
    </row>
    <row r="140" spans="1:34" x14ac:dyDescent="0.2">
      <c r="A140" s="83" t="str">
        <f t="shared" si="1"/>
        <v>VE2D2P1</v>
      </c>
      <c r="B140" s="66">
        <v>2</v>
      </c>
      <c r="I140" s="66">
        <v>2</v>
      </c>
      <c r="J140" s="66">
        <v>2</v>
      </c>
      <c r="K140" s="66">
        <v>1</v>
      </c>
      <c r="V140" s="83"/>
      <c r="AD140" s="66" t="str">
        <f t="shared" si="0"/>
        <v>AII4C2P2</v>
      </c>
      <c r="AE140" s="66">
        <v>3</v>
      </c>
      <c r="AF140" s="66">
        <v>4</v>
      </c>
      <c r="AG140" s="66">
        <v>2</v>
      </c>
      <c r="AH140" s="66">
        <v>2</v>
      </c>
    </row>
    <row r="141" spans="1:34" x14ac:dyDescent="0.2">
      <c r="A141" s="83" t="str">
        <f t="shared" si="1"/>
        <v>VE2D2P2</v>
      </c>
      <c r="B141" s="66">
        <v>2</v>
      </c>
      <c r="I141" s="66">
        <v>2</v>
      </c>
      <c r="J141" s="66">
        <v>2</v>
      </c>
      <c r="K141" s="66">
        <v>2</v>
      </c>
      <c r="V141" s="83"/>
      <c r="AD141" s="66" t="str">
        <f t="shared" si="0"/>
        <v>AII4C2P3</v>
      </c>
      <c r="AE141" s="66">
        <v>2</v>
      </c>
      <c r="AF141" s="66">
        <v>4</v>
      </c>
      <c r="AG141" s="66">
        <v>2</v>
      </c>
      <c r="AH141" s="66">
        <v>3</v>
      </c>
    </row>
    <row r="142" spans="1:34" x14ac:dyDescent="0.2">
      <c r="A142" s="83" t="str">
        <f t="shared" si="1"/>
        <v>VE2D2P3</v>
      </c>
      <c r="B142" s="66">
        <v>2</v>
      </c>
      <c r="I142" s="66">
        <v>2</v>
      </c>
      <c r="J142" s="66">
        <v>2</v>
      </c>
      <c r="K142" s="66">
        <v>3</v>
      </c>
      <c r="V142" s="83"/>
      <c r="AD142" s="66" t="str">
        <f t="shared" si="0"/>
        <v>AII4C2P4</v>
      </c>
      <c r="AE142" s="66">
        <v>1</v>
      </c>
      <c r="AF142" s="66">
        <v>4</v>
      </c>
      <c r="AG142" s="66">
        <v>2</v>
      </c>
      <c r="AH142" s="66">
        <v>4</v>
      </c>
    </row>
    <row r="143" spans="1:34" x14ac:dyDescent="0.2">
      <c r="A143" s="83" t="str">
        <f t="shared" si="1"/>
        <v>VE2D2P4</v>
      </c>
      <c r="B143" s="66">
        <v>1</v>
      </c>
      <c r="I143" s="66">
        <v>2</v>
      </c>
      <c r="J143" s="66">
        <v>2</v>
      </c>
      <c r="K143" s="66">
        <v>4</v>
      </c>
      <c r="V143" s="83"/>
      <c r="AD143" s="66" t="str">
        <f t="shared" si="0"/>
        <v>AII4C3P1</v>
      </c>
      <c r="AE143" s="66">
        <v>3</v>
      </c>
      <c r="AF143" s="66">
        <v>4</v>
      </c>
      <c r="AG143" s="66">
        <v>3</v>
      </c>
      <c r="AH143" s="66">
        <v>1</v>
      </c>
    </row>
    <row r="144" spans="1:34" x14ac:dyDescent="0.2">
      <c r="A144" s="83" t="str">
        <f t="shared" si="1"/>
        <v>VE2D3P1</v>
      </c>
      <c r="B144" s="66">
        <v>2</v>
      </c>
      <c r="I144" s="66">
        <v>2</v>
      </c>
      <c r="J144" s="66">
        <v>3</v>
      </c>
      <c r="K144" s="66">
        <v>1</v>
      </c>
      <c r="V144" s="83"/>
      <c r="AD144" s="66" t="str">
        <f t="shared" si="0"/>
        <v>AII4C3P2</v>
      </c>
      <c r="AE144" s="66">
        <v>3</v>
      </c>
      <c r="AF144" s="66">
        <v>4</v>
      </c>
      <c r="AG144" s="66">
        <v>3</v>
      </c>
      <c r="AH144" s="66">
        <v>2</v>
      </c>
    </row>
    <row r="145" spans="1:34" x14ac:dyDescent="0.2">
      <c r="A145" s="83" t="str">
        <f t="shared" si="1"/>
        <v>VE2D3P2</v>
      </c>
      <c r="B145" s="66">
        <v>2</v>
      </c>
      <c r="I145" s="66">
        <v>2</v>
      </c>
      <c r="J145" s="66">
        <v>3</v>
      </c>
      <c r="K145" s="66">
        <v>2</v>
      </c>
      <c r="V145" s="83"/>
      <c r="AD145" s="66" t="str">
        <f t="shared" si="0"/>
        <v>AII4C3P3</v>
      </c>
      <c r="AE145" s="66">
        <v>2</v>
      </c>
      <c r="AF145" s="66">
        <v>4</v>
      </c>
      <c r="AG145" s="66">
        <v>3</v>
      </c>
      <c r="AH145" s="66">
        <v>3</v>
      </c>
    </row>
    <row r="146" spans="1:34" x14ac:dyDescent="0.2">
      <c r="A146" s="83" t="str">
        <f t="shared" si="1"/>
        <v>VE2D3P3</v>
      </c>
      <c r="B146" s="66">
        <v>1</v>
      </c>
      <c r="I146" s="66">
        <v>2</v>
      </c>
      <c r="J146" s="66">
        <v>3</v>
      </c>
      <c r="K146" s="66">
        <v>3</v>
      </c>
      <c r="V146" s="83"/>
      <c r="AD146" s="66" t="str">
        <f t="shared" si="0"/>
        <v>AII4C3P4</v>
      </c>
      <c r="AE146" s="66">
        <v>1</v>
      </c>
      <c r="AF146" s="66">
        <v>4</v>
      </c>
      <c r="AG146" s="66">
        <v>3</v>
      </c>
      <c r="AH146" s="66">
        <v>4</v>
      </c>
    </row>
    <row r="147" spans="1:34" x14ac:dyDescent="0.2">
      <c r="A147" s="83" t="str">
        <f t="shared" si="1"/>
        <v>VE2D3P4</v>
      </c>
      <c r="B147" s="66">
        <v>1</v>
      </c>
      <c r="I147" s="66">
        <v>2</v>
      </c>
      <c r="J147" s="66">
        <v>3</v>
      </c>
      <c r="K147" s="66">
        <v>4</v>
      </c>
      <c r="V147" s="83"/>
      <c r="AD147" s="66" t="str">
        <f t="shared" si="0"/>
        <v>AII4C4P1</v>
      </c>
      <c r="AE147" s="66">
        <v>2</v>
      </c>
      <c r="AF147" s="66">
        <v>4</v>
      </c>
      <c r="AG147" s="66">
        <v>4</v>
      </c>
      <c r="AH147" s="66">
        <v>1</v>
      </c>
    </row>
    <row r="148" spans="1:34" x14ac:dyDescent="0.2">
      <c r="A148" s="83" t="str">
        <f t="shared" si="1"/>
        <v>VE2D4P1</v>
      </c>
      <c r="B148" s="66">
        <v>1</v>
      </c>
      <c r="I148" s="66">
        <v>2</v>
      </c>
      <c r="J148" s="66">
        <v>4</v>
      </c>
      <c r="K148" s="66">
        <v>1</v>
      </c>
      <c r="V148" s="83"/>
      <c r="AD148" s="66" t="str">
        <f t="shared" si="0"/>
        <v>AII4C4P2</v>
      </c>
      <c r="AE148" s="66">
        <v>2</v>
      </c>
      <c r="AF148" s="66">
        <v>4</v>
      </c>
      <c r="AG148" s="66">
        <v>4</v>
      </c>
      <c r="AH148" s="66">
        <v>2</v>
      </c>
    </row>
    <row r="149" spans="1:34" x14ac:dyDescent="0.2">
      <c r="A149" s="83" t="str">
        <f t="shared" si="1"/>
        <v>VE2D4P2</v>
      </c>
      <c r="B149" s="66">
        <v>1</v>
      </c>
      <c r="I149" s="66">
        <v>2</v>
      </c>
      <c r="J149" s="66">
        <v>4</v>
      </c>
      <c r="K149" s="66">
        <v>2</v>
      </c>
      <c r="V149" s="83"/>
      <c r="AD149" s="66" t="str">
        <f t="shared" si="0"/>
        <v>AII4C4P3</v>
      </c>
      <c r="AE149" s="66">
        <v>2</v>
      </c>
      <c r="AF149" s="66">
        <v>4</v>
      </c>
      <c r="AG149" s="66">
        <v>4</v>
      </c>
      <c r="AH149" s="66">
        <v>3</v>
      </c>
    </row>
    <row r="150" spans="1:34" x14ac:dyDescent="0.2">
      <c r="A150" s="83" t="str">
        <f t="shared" si="1"/>
        <v>VE2D4P3</v>
      </c>
      <c r="B150" s="66">
        <v>1</v>
      </c>
      <c r="I150" s="66">
        <v>2</v>
      </c>
      <c r="J150" s="66">
        <v>4</v>
      </c>
      <c r="K150" s="66">
        <v>3</v>
      </c>
      <c r="V150" s="83"/>
      <c r="AD150" s="66" t="str">
        <f t="shared" si="0"/>
        <v>AII4C4P4</v>
      </c>
      <c r="AE150" s="66">
        <v>1</v>
      </c>
      <c r="AF150" s="66">
        <v>4</v>
      </c>
      <c r="AG150" s="66">
        <v>4</v>
      </c>
      <c r="AH150" s="66">
        <v>4</v>
      </c>
    </row>
    <row r="151" spans="1:34" x14ac:dyDescent="0.2">
      <c r="A151" s="83" t="str">
        <f t="shared" si="1"/>
        <v>VE2D4P4</v>
      </c>
      <c r="B151" s="66">
        <v>1</v>
      </c>
      <c r="I151" s="66">
        <v>2</v>
      </c>
      <c r="J151" s="66">
        <v>4</v>
      </c>
      <c r="K151" s="66">
        <v>4</v>
      </c>
      <c r="AD151" s="66" t="str">
        <f t="shared" ref="AD151:AD199" si="2">CONCATENATE("I",$AF$86,AF151,$AG$86,AG151,$AH$86,AH151)</f>
        <v>III1C1P1</v>
      </c>
      <c r="AE151" s="66">
        <v>1</v>
      </c>
      <c r="AF151" s="66">
        <v>1</v>
      </c>
      <c r="AG151" s="66">
        <v>1</v>
      </c>
      <c r="AH151" s="66">
        <v>1</v>
      </c>
    </row>
    <row r="152" spans="1:34" x14ac:dyDescent="0.2">
      <c r="A152" s="83" t="str">
        <f t="shared" si="1"/>
        <v>VE3D1P1</v>
      </c>
      <c r="B152" s="66">
        <v>3</v>
      </c>
      <c r="I152" s="66">
        <v>3</v>
      </c>
      <c r="J152" s="66">
        <v>1</v>
      </c>
      <c r="K152" s="66">
        <v>1</v>
      </c>
      <c r="AD152" s="66" t="str">
        <f t="shared" si="2"/>
        <v>III1C1P2</v>
      </c>
      <c r="AE152" s="66">
        <v>1</v>
      </c>
      <c r="AF152" s="66">
        <v>1</v>
      </c>
      <c r="AG152" s="66">
        <v>1</v>
      </c>
      <c r="AH152" s="66">
        <v>2</v>
      </c>
    </row>
    <row r="153" spans="1:34" x14ac:dyDescent="0.2">
      <c r="A153" s="83" t="str">
        <f t="shared" si="1"/>
        <v>VE3D1P2</v>
      </c>
      <c r="B153" s="66">
        <v>3</v>
      </c>
      <c r="I153" s="66">
        <v>3</v>
      </c>
      <c r="J153" s="66">
        <v>1</v>
      </c>
      <c r="K153" s="66">
        <v>2</v>
      </c>
      <c r="AD153" s="66" t="str">
        <f t="shared" si="2"/>
        <v>III1C1P3</v>
      </c>
      <c r="AE153" s="66">
        <v>1</v>
      </c>
      <c r="AF153" s="66">
        <v>1</v>
      </c>
      <c r="AG153" s="66">
        <v>1</v>
      </c>
      <c r="AH153" s="66">
        <v>3</v>
      </c>
    </row>
    <row r="154" spans="1:34" x14ac:dyDescent="0.2">
      <c r="A154" s="83" t="str">
        <f t="shared" si="1"/>
        <v>VE3D1P3</v>
      </c>
      <c r="B154" s="66">
        <v>2</v>
      </c>
      <c r="I154" s="66">
        <v>3</v>
      </c>
      <c r="J154" s="66">
        <v>1</v>
      </c>
      <c r="K154" s="66">
        <v>3</v>
      </c>
      <c r="AD154" s="66" t="str">
        <f t="shared" si="2"/>
        <v>III1C1P4</v>
      </c>
      <c r="AE154" s="66">
        <v>1</v>
      </c>
      <c r="AF154" s="66">
        <v>1</v>
      </c>
      <c r="AG154" s="66">
        <v>1</v>
      </c>
      <c r="AH154" s="66">
        <v>4</v>
      </c>
    </row>
    <row r="155" spans="1:34" x14ac:dyDescent="0.2">
      <c r="A155" s="83" t="str">
        <f t="shared" si="1"/>
        <v>VE3D1P4</v>
      </c>
      <c r="B155" s="66">
        <v>1</v>
      </c>
      <c r="I155" s="66">
        <v>3</v>
      </c>
      <c r="J155" s="66">
        <v>1</v>
      </c>
      <c r="K155" s="66">
        <v>4</v>
      </c>
      <c r="AD155" s="66" t="str">
        <f t="shared" si="2"/>
        <v>III1C2P1</v>
      </c>
      <c r="AE155" s="66">
        <v>1</v>
      </c>
      <c r="AF155" s="66">
        <v>1</v>
      </c>
      <c r="AG155" s="66">
        <v>2</v>
      </c>
      <c r="AH155" s="66">
        <v>1</v>
      </c>
    </row>
    <row r="156" spans="1:34" x14ac:dyDescent="0.2">
      <c r="A156" s="83" t="str">
        <f t="shared" si="1"/>
        <v>VE3D2P1</v>
      </c>
      <c r="B156" s="66">
        <v>3</v>
      </c>
      <c r="I156" s="66">
        <v>3</v>
      </c>
      <c r="J156" s="66">
        <v>2</v>
      </c>
      <c r="K156" s="66">
        <v>1</v>
      </c>
      <c r="AD156" s="66" t="str">
        <f t="shared" si="2"/>
        <v>III1C2P2</v>
      </c>
      <c r="AE156" s="66">
        <v>1</v>
      </c>
      <c r="AF156" s="66">
        <v>1</v>
      </c>
      <c r="AG156" s="66">
        <v>2</v>
      </c>
      <c r="AH156" s="66">
        <v>2</v>
      </c>
    </row>
    <row r="157" spans="1:34" x14ac:dyDescent="0.2">
      <c r="A157" s="83" t="str">
        <f t="shared" si="1"/>
        <v>VE3D2P2</v>
      </c>
      <c r="B157" s="66">
        <v>3</v>
      </c>
      <c r="I157" s="66">
        <v>3</v>
      </c>
      <c r="J157" s="66">
        <v>2</v>
      </c>
      <c r="K157" s="66">
        <v>2</v>
      </c>
      <c r="AD157" s="66" t="str">
        <f t="shared" si="2"/>
        <v>III1C2P3</v>
      </c>
      <c r="AE157" s="66">
        <v>1</v>
      </c>
      <c r="AF157" s="66">
        <v>1</v>
      </c>
      <c r="AG157" s="66">
        <v>2</v>
      </c>
      <c r="AH157" s="66">
        <v>3</v>
      </c>
    </row>
    <row r="158" spans="1:34" x14ac:dyDescent="0.2">
      <c r="A158" s="83" t="str">
        <f t="shared" si="1"/>
        <v>VE3D2P3</v>
      </c>
      <c r="B158" s="66">
        <v>2</v>
      </c>
      <c r="I158" s="66">
        <v>3</v>
      </c>
      <c r="J158" s="66">
        <v>2</v>
      </c>
      <c r="K158" s="66">
        <v>3</v>
      </c>
      <c r="AD158" s="66" t="str">
        <f t="shared" si="2"/>
        <v>III1C2P4</v>
      </c>
      <c r="AE158" s="66">
        <v>1</v>
      </c>
      <c r="AF158" s="66">
        <v>1</v>
      </c>
      <c r="AG158" s="66">
        <v>2</v>
      </c>
      <c r="AH158" s="66">
        <v>4</v>
      </c>
    </row>
    <row r="159" spans="1:34" x14ac:dyDescent="0.2">
      <c r="A159" s="83" t="str">
        <f t="shared" si="1"/>
        <v>VE3D2P4</v>
      </c>
      <c r="B159" s="66">
        <v>1</v>
      </c>
      <c r="I159" s="66">
        <v>3</v>
      </c>
      <c r="J159" s="66">
        <v>2</v>
      </c>
      <c r="K159" s="66">
        <v>4</v>
      </c>
      <c r="AD159" s="66" t="str">
        <f t="shared" si="2"/>
        <v>III1C3P1</v>
      </c>
      <c r="AE159" s="66">
        <v>1</v>
      </c>
      <c r="AF159" s="66">
        <v>1</v>
      </c>
      <c r="AG159" s="66">
        <v>3</v>
      </c>
      <c r="AH159" s="66">
        <v>1</v>
      </c>
    </row>
    <row r="160" spans="1:34" x14ac:dyDescent="0.2">
      <c r="A160" s="83" t="str">
        <f t="shared" si="1"/>
        <v>VE3D3P1</v>
      </c>
      <c r="B160" s="66">
        <v>2</v>
      </c>
      <c r="I160" s="66">
        <v>3</v>
      </c>
      <c r="J160" s="66">
        <v>3</v>
      </c>
      <c r="K160" s="66">
        <v>1</v>
      </c>
      <c r="AD160" s="66" t="str">
        <f t="shared" si="2"/>
        <v>III1C3P2</v>
      </c>
      <c r="AE160" s="66">
        <v>1</v>
      </c>
      <c r="AF160" s="66">
        <v>1</v>
      </c>
      <c r="AG160" s="66">
        <v>3</v>
      </c>
      <c r="AH160" s="66">
        <v>2</v>
      </c>
    </row>
    <row r="161" spans="1:34" x14ac:dyDescent="0.2">
      <c r="A161" s="83" t="str">
        <f t="shared" si="1"/>
        <v>VE3D3P2</v>
      </c>
      <c r="B161" s="66">
        <v>2</v>
      </c>
      <c r="I161" s="66">
        <v>3</v>
      </c>
      <c r="J161" s="66">
        <v>3</v>
      </c>
      <c r="K161" s="66">
        <v>2</v>
      </c>
      <c r="AD161" s="66" t="str">
        <f t="shared" si="2"/>
        <v>III1C3P3</v>
      </c>
      <c r="AE161" s="66">
        <v>1</v>
      </c>
      <c r="AF161" s="66">
        <v>1</v>
      </c>
      <c r="AG161" s="66">
        <v>3</v>
      </c>
      <c r="AH161" s="66">
        <v>3</v>
      </c>
    </row>
    <row r="162" spans="1:34" x14ac:dyDescent="0.2">
      <c r="A162" s="83" t="str">
        <f t="shared" si="1"/>
        <v>VE3D3P3</v>
      </c>
      <c r="B162" s="66">
        <v>1</v>
      </c>
      <c r="I162" s="66">
        <v>3</v>
      </c>
      <c r="J162" s="66">
        <v>3</v>
      </c>
      <c r="K162" s="66">
        <v>3</v>
      </c>
      <c r="AD162" s="66" t="str">
        <f t="shared" si="2"/>
        <v>III1C3P4</v>
      </c>
      <c r="AE162" s="66">
        <v>1</v>
      </c>
      <c r="AF162" s="66">
        <v>1</v>
      </c>
      <c r="AG162" s="66">
        <v>3</v>
      </c>
      <c r="AH162" s="66">
        <v>4</v>
      </c>
    </row>
    <row r="163" spans="1:34" x14ac:dyDescent="0.2">
      <c r="A163" s="83" t="str">
        <f t="shared" si="1"/>
        <v>VE3D3P4</v>
      </c>
      <c r="B163" s="66">
        <v>1</v>
      </c>
      <c r="I163" s="66">
        <v>3</v>
      </c>
      <c r="J163" s="66">
        <v>3</v>
      </c>
      <c r="K163" s="66">
        <v>4</v>
      </c>
      <c r="AD163" s="66" t="str">
        <f t="shared" si="2"/>
        <v>III1C4P1</v>
      </c>
      <c r="AE163" s="66">
        <v>1</v>
      </c>
      <c r="AF163" s="66">
        <v>1</v>
      </c>
      <c r="AG163" s="66">
        <v>4</v>
      </c>
      <c r="AH163" s="66">
        <v>1</v>
      </c>
    </row>
    <row r="164" spans="1:34" x14ac:dyDescent="0.2">
      <c r="A164" s="83" t="str">
        <f t="shared" si="1"/>
        <v>VE3D4P1</v>
      </c>
      <c r="B164" s="66">
        <v>2</v>
      </c>
      <c r="I164" s="66">
        <v>3</v>
      </c>
      <c r="J164" s="66">
        <v>4</v>
      </c>
      <c r="K164" s="66">
        <v>1</v>
      </c>
      <c r="AD164" s="66" t="str">
        <f t="shared" si="2"/>
        <v>III1C4P2</v>
      </c>
      <c r="AE164" s="66">
        <v>1</v>
      </c>
      <c r="AF164" s="66">
        <v>1</v>
      </c>
      <c r="AG164" s="66">
        <v>4</v>
      </c>
      <c r="AH164" s="66">
        <v>2</v>
      </c>
    </row>
    <row r="165" spans="1:34" x14ac:dyDescent="0.2">
      <c r="A165" s="83" t="str">
        <f t="shared" si="1"/>
        <v>VE3D4P2</v>
      </c>
      <c r="B165" s="66">
        <v>2</v>
      </c>
      <c r="I165" s="66">
        <v>3</v>
      </c>
      <c r="J165" s="66">
        <v>4</v>
      </c>
      <c r="K165" s="66">
        <v>2</v>
      </c>
      <c r="AD165" s="66" t="str">
        <f t="shared" si="2"/>
        <v>III1C4P3</v>
      </c>
      <c r="AE165" s="66">
        <v>1</v>
      </c>
      <c r="AF165" s="66">
        <v>1</v>
      </c>
      <c r="AG165" s="66">
        <v>4</v>
      </c>
      <c r="AH165" s="66">
        <v>3</v>
      </c>
    </row>
    <row r="166" spans="1:34" x14ac:dyDescent="0.2">
      <c r="A166" s="83" t="str">
        <f t="shared" si="1"/>
        <v>VE3D4P3</v>
      </c>
      <c r="B166" s="66">
        <v>1</v>
      </c>
      <c r="I166" s="66">
        <v>3</v>
      </c>
      <c r="J166" s="66">
        <v>4</v>
      </c>
      <c r="K166" s="66">
        <v>3</v>
      </c>
      <c r="AD166" s="66" t="str">
        <f t="shared" si="2"/>
        <v>III1C4P4</v>
      </c>
      <c r="AE166" s="66">
        <v>1</v>
      </c>
      <c r="AF166" s="66">
        <v>1</v>
      </c>
      <c r="AG166" s="66">
        <v>4</v>
      </c>
      <c r="AH166" s="66">
        <v>4</v>
      </c>
    </row>
    <row r="167" spans="1:34" x14ac:dyDescent="0.2">
      <c r="A167" s="83" t="str">
        <f t="shared" si="1"/>
        <v>VE3D4P4</v>
      </c>
      <c r="B167" s="66">
        <v>1</v>
      </c>
      <c r="I167" s="66">
        <v>3</v>
      </c>
      <c r="J167" s="66">
        <v>4</v>
      </c>
      <c r="K167" s="66">
        <v>4</v>
      </c>
      <c r="AD167" s="66" t="str">
        <f t="shared" si="2"/>
        <v>III2C1P1</v>
      </c>
      <c r="AE167" s="66">
        <v>2</v>
      </c>
      <c r="AF167" s="66">
        <v>2</v>
      </c>
      <c r="AG167" s="66">
        <v>1</v>
      </c>
      <c r="AH167" s="66">
        <v>1</v>
      </c>
    </row>
    <row r="168" spans="1:34" x14ac:dyDescent="0.2">
      <c r="A168" s="83" t="str">
        <f t="shared" si="1"/>
        <v>VE4D1P1</v>
      </c>
      <c r="B168" s="66">
        <v>4</v>
      </c>
      <c r="I168" s="66">
        <v>4</v>
      </c>
      <c r="J168" s="66">
        <v>1</v>
      </c>
      <c r="K168" s="66">
        <v>1</v>
      </c>
      <c r="AD168" s="66" t="str">
        <f t="shared" si="2"/>
        <v>III2C1P2</v>
      </c>
      <c r="AE168" s="66">
        <v>2</v>
      </c>
      <c r="AF168" s="66">
        <v>2</v>
      </c>
      <c r="AG168" s="66">
        <v>1</v>
      </c>
      <c r="AH168" s="66">
        <v>2</v>
      </c>
    </row>
    <row r="169" spans="1:34" x14ac:dyDescent="0.2">
      <c r="A169" s="83" t="str">
        <f t="shared" si="1"/>
        <v>VE4D1P2</v>
      </c>
      <c r="B169" s="66">
        <v>4</v>
      </c>
      <c r="I169" s="66">
        <v>4</v>
      </c>
      <c r="J169" s="66">
        <v>1</v>
      </c>
      <c r="K169" s="66">
        <v>2</v>
      </c>
      <c r="AD169" s="66" t="str">
        <f t="shared" si="2"/>
        <v>III2C1P3</v>
      </c>
      <c r="AE169" s="66">
        <v>2</v>
      </c>
      <c r="AF169" s="66">
        <v>2</v>
      </c>
      <c r="AG169" s="66">
        <v>1</v>
      </c>
      <c r="AH169" s="66">
        <v>3</v>
      </c>
    </row>
    <row r="170" spans="1:34" x14ac:dyDescent="0.2">
      <c r="A170" s="83" t="str">
        <f t="shared" si="1"/>
        <v>VE4D1P3</v>
      </c>
      <c r="B170" s="83">
        <v>3</v>
      </c>
      <c r="I170" s="66">
        <v>4</v>
      </c>
      <c r="J170" s="66">
        <v>1</v>
      </c>
      <c r="K170" s="66">
        <v>3</v>
      </c>
      <c r="AD170" s="66" t="str">
        <f t="shared" si="2"/>
        <v>III2C1P4</v>
      </c>
      <c r="AE170" s="66">
        <v>1</v>
      </c>
      <c r="AF170" s="66">
        <v>2</v>
      </c>
      <c r="AG170" s="66">
        <v>1</v>
      </c>
      <c r="AH170" s="66">
        <v>4</v>
      </c>
    </row>
    <row r="171" spans="1:34" x14ac:dyDescent="0.2">
      <c r="A171" s="83" t="str">
        <f t="shared" si="1"/>
        <v>VE4D1P4</v>
      </c>
      <c r="B171" s="66">
        <v>2</v>
      </c>
      <c r="I171" s="66">
        <v>4</v>
      </c>
      <c r="J171" s="66">
        <v>1</v>
      </c>
      <c r="K171" s="66">
        <v>4</v>
      </c>
      <c r="AD171" s="66" t="str">
        <f t="shared" si="2"/>
        <v>III2C2P1</v>
      </c>
      <c r="AE171" s="66">
        <v>2</v>
      </c>
      <c r="AF171" s="66">
        <v>2</v>
      </c>
      <c r="AG171" s="66">
        <v>2</v>
      </c>
      <c r="AH171" s="66">
        <v>1</v>
      </c>
    </row>
    <row r="172" spans="1:34" x14ac:dyDescent="0.2">
      <c r="A172" s="83" t="str">
        <f t="shared" si="1"/>
        <v>VE4D2P1</v>
      </c>
      <c r="B172" s="66">
        <v>4</v>
      </c>
      <c r="I172" s="66">
        <v>4</v>
      </c>
      <c r="J172" s="66">
        <v>2</v>
      </c>
      <c r="K172" s="66">
        <v>1</v>
      </c>
      <c r="AD172" s="66" t="str">
        <f t="shared" si="2"/>
        <v>III2C2P2</v>
      </c>
      <c r="AE172" s="66">
        <v>2</v>
      </c>
      <c r="AF172" s="66">
        <v>2</v>
      </c>
      <c r="AG172" s="66">
        <v>2</v>
      </c>
      <c r="AH172" s="66">
        <v>2</v>
      </c>
    </row>
    <row r="173" spans="1:34" x14ac:dyDescent="0.2">
      <c r="A173" s="83" t="str">
        <f t="shared" si="1"/>
        <v>VE4D2P2</v>
      </c>
      <c r="B173" s="66">
        <v>4</v>
      </c>
      <c r="I173" s="66">
        <v>4</v>
      </c>
      <c r="J173" s="66">
        <v>2</v>
      </c>
      <c r="K173" s="66">
        <v>2</v>
      </c>
      <c r="AD173" s="66" t="str">
        <f t="shared" si="2"/>
        <v>III2C2P3</v>
      </c>
      <c r="AE173" s="66">
        <v>2</v>
      </c>
      <c r="AF173" s="66">
        <v>2</v>
      </c>
      <c r="AG173" s="66">
        <v>2</v>
      </c>
      <c r="AH173" s="66">
        <v>3</v>
      </c>
    </row>
    <row r="174" spans="1:34" x14ac:dyDescent="0.2">
      <c r="A174" s="83" t="str">
        <f t="shared" si="1"/>
        <v>VE4D2P3</v>
      </c>
      <c r="B174" s="66">
        <v>3</v>
      </c>
      <c r="I174" s="66">
        <v>4</v>
      </c>
      <c r="J174" s="66">
        <v>2</v>
      </c>
      <c r="K174" s="66">
        <v>3</v>
      </c>
      <c r="AD174" s="66" t="str">
        <f t="shared" si="2"/>
        <v>III2C2P4</v>
      </c>
      <c r="AE174" s="66">
        <v>1</v>
      </c>
      <c r="AF174" s="66">
        <v>2</v>
      </c>
      <c r="AG174" s="66">
        <v>2</v>
      </c>
      <c r="AH174" s="66">
        <v>4</v>
      </c>
    </row>
    <row r="175" spans="1:34" x14ac:dyDescent="0.2">
      <c r="A175" s="83" t="str">
        <f t="shared" si="1"/>
        <v>VE4D2P4</v>
      </c>
      <c r="B175" s="66">
        <v>2</v>
      </c>
      <c r="I175" s="66">
        <v>4</v>
      </c>
      <c r="J175" s="66">
        <v>2</v>
      </c>
      <c r="K175" s="66">
        <v>4</v>
      </c>
      <c r="AD175" s="66" t="str">
        <f t="shared" si="2"/>
        <v>III2C3P1</v>
      </c>
      <c r="AE175" s="66">
        <v>2</v>
      </c>
      <c r="AF175" s="66">
        <v>2</v>
      </c>
      <c r="AG175" s="66">
        <v>3</v>
      </c>
      <c r="AH175" s="66">
        <v>1</v>
      </c>
    </row>
    <row r="176" spans="1:34" x14ac:dyDescent="0.2">
      <c r="A176" s="83" t="str">
        <f t="shared" si="1"/>
        <v>VE4D3P1</v>
      </c>
      <c r="B176" s="66">
        <v>3</v>
      </c>
      <c r="I176" s="66">
        <v>4</v>
      </c>
      <c r="J176" s="66">
        <v>3</v>
      </c>
      <c r="K176" s="66">
        <v>1</v>
      </c>
      <c r="AD176" s="66" t="str">
        <f t="shared" si="2"/>
        <v>III2C3P2</v>
      </c>
      <c r="AE176" s="66">
        <v>2</v>
      </c>
      <c r="AF176" s="66">
        <v>2</v>
      </c>
      <c r="AG176" s="66">
        <v>3</v>
      </c>
      <c r="AH176" s="66">
        <v>2</v>
      </c>
    </row>
    <row r="177" spans="1:34" x14ac:dyDescent="0.2">
      <c r="A177" s="83" t="str">
        <f t="shared" si="1"/>
        <v>VE4D3P2</v>
      </c>
      <c r="B177" s="66">
        <v>3</v>
      </c>
      <c r="I177" s="66">
        <v>4</v>
      </c>
      <c r="J177" s="66">
        <v>3</v>
      </c>
      <c r="K177" s="66">
        <v>2</v>
      </c>
      <c r="AD177" s="66" t="str">
        <f t="shared" si="2"/>
        <v>III2C3P3</v>
      </c>
      <c r="AE177" s="66">
        <v>1</v>
      </c>
      <c r="AF177" s="66">
        <v>2</v>
      </c>
      <c r="AG177" s="66">
        <v>3</v>
      </c>
      <c r="AH177" s="66">
        <v>3</v>
      </c>
    </row>
    <row r="178" spans="1:34" x14ac:dyDescent="0.2">
      <c r="A178" s="83" t="str">
        <f t="shared" si="1"/>
        <v>VE4D3P3</v>
      </c>
      <c r="B178" s="66">
        <v>2</v>
      </c>
      <c r="I178" s="66">
        <v>4</v>
      </c>
      <c r="J178" s="66">
        <v>3</v>
      </c>
      <c r="K178" s="66">
        <v>3</v>
      </c>
      <c r="AD178" s="66" t="str">
        <f t="shared" si="2"/>
        <v>III2C3P4</v>
      </c>
      <c r="AE178" s="66">
        <v>1</v>
      </c>
      <c r="AF178" s="66">
        <v>2</v>
      </c>
      <c r="AG178" s="66">
        <v>3</v>
      </c>
      <c r="AH178" s="66">
        <v>4</v>
      </c>
    </row>
    <row r="179" spans="1:34" x14ac:dyDescent="0.2">
      <c r="A179" s="83" t="str">
        <f t="shared" si="1"/>
        <v>VE4D3P4</v>
      </c>
      <c r="B179" s="66">
        <v>2</v>
      </c>
      <c r="I179" s="66">
        <v>4</v>
      </c>
      <c r="J179" s="66">
        <v>3</v>
      </c>
      <c r="K179" s="66">
        <v>4</v>
      </c>
      <c r="AD179" s="66" t="str">
        <f t="shared" si="2"/>
        <v>III2C4P1</v>
      </c>
      <c r="AE179" s="66">
        <v>1</v>
      </c>
      <c r="AF179" s="66">
        <v>2</v>
      </c>
      <c r="AG179" s="66">
        <v>4</v>
      </c>
      <c r="AH179" s="66">
        <v>1</v>
      </c>
    </row>
    <row r="180" spans="1:34" x14ac:dyDescent="0.2">
      <c r="A180" s="83" t="str">
        <f t="shared" si="1"/>
        <v>VE4D4P1</v>
      </c>
      <c r="B180" s="66">
        <v>2</v>
      </c>
      <c r="I180" s="66">
        <v>4</v>
      </c>
      <c r="J180" s="66">
        <v>4</v>
      </c>
      <c r="K180" s="66">
        <v>1</v>
      </c>
      <c r="AD180" s="66" t="str">
        <f t="shared" si="2"/>
        <v>III2C4P2</v>
      </c>
      <c r="AE180" s="66">
        <v>1</v>
      </c>
      <c r="AF180" s="66">
        <v>2</v>
      </c>
      <c r="AG180" s="66">
        <v>4</v>
      </c>
      <c r="AH180" s="66">
        <v>2</v>
      </c>
    </row>
    <row r="181" spans="1:34" x14ac:dyDescent="0.2">
      <c r="A181" s="83" t="str">
        <f t="shared" si="1"/>
        <v>VE4D4P2</v>
      </c>
      <c r="B181" s="66">
        <v>2</v>
      </c>
      <c r="I181" s="66">
        <v>4</v>
      </c>
      <c r="J181" s="66">
        <v>4</v>
      </c>
      <c r="K181" s="66">
        <v>2</v>
      </c>
      <c r="AD181" s="66" t="str">
        <f t="shared" si="2"/>
        <v>III2C4P3</v>
      </c>
      <c r="AE181" s="66">
        <v>1</v>
      </c>
      <c r="AF181" s="66">
        <v>2</v>
      </c>
      <c r="AG181" s="66">
        <v>4</v>
      </c>
      <c r="AH181" s="66">
        <v>3</v>
      </c>
    </row>
    <row r="182" spans="1:34" x14ac:dyDescent="0.2">
      <c r="A182" s="83" t="str">
        <f t="shared" si="1"/>
        <v>VE4D4P3</v>
      </c>
      <c r="B182" s="66">
        <v>2</v>
      </c>
      <c r="I182" s="66">
        <v>4</v>
      </c>
      <c r="J182" s="66">
        <v>4</v>
      </c>
      <c r="K182" s="66">
        <v>3</v>
      </c>
      <c r="AD182" s="66" t="str">
        <f t="shared" si="2"/>
        <v>III2C4P4</v>
      </c>
      <c r="AE182" s="66">
        <v>1</v>
      </c>
      <c r="AF182" s="66">
        <v>2</v>
      </c>
      <c r="AG182" s="66">
        <v>4</v>
      </c>
      <c r="AH182" s="66">
        <v>4</v>
      </c>
    </row>
    <row r="183" spans="1:34" x14ac:dyDescent="0.2">
      <c r="A183" s="83" t="str">
        <f t="shared" si="1"/>
        <v>VE4D4P4</v>
      </c>
      <c r="B183" s="66">
        <v>1</v>
      </c>
      <c r="I183" s="66">
        <v>4</v>
      </c>
      <c r="J183" s="66">
        <v>4</v>
      </c>
      <c r="K183" s="66">
        <v>4</v>
      </c>
      <c r="AD183" s="66" t="str">
        <f t="shared" si="2"/>
        <v>III3C1P1</v>
      </c>
      <c r="AE183" s="66">
        <v>3</v>
      </c>
      <c r="AF183" s="66">
        <v>3</v>
      </c>
      <c r="AG183" s="66">
        <v>1</v>
      </c>
      <c r="AH183" s="66">
        <v>1</v>
      </c>
    </row>
    <row r="184" spans="1:34" x14ac:dyDescent="0.2">
      <c r="AD184" s="66" t="str">
        <f t="shared" si="2"/>
        <v>III3C1P2</v>
      </c>
      <c r="AE184" s="66">
        <v>3</v>
      </c>
      <c r="AF184" s="66">
        <v>3</v>
      </c>
      <c r="AG184" s="66">
        <v>1</v>
      </c>
      <c r="AH184" s="66">
        <v>2</v>
      </c>
    </row>
    <row r="185" spans="1:34" x14ac:dyDescent="0.2">
      <c r="AD185" s="66" t="str">
        <f t="shared" si="2"/>
        <v>III3C1P3</v>
      </c>
      <c r="AE185" s="66">
        <v>2</v>
      </c>
      <c r="AF185" s="66">
        <v>3</v>
      </c>
      <c r="AG185" s="66">
        <v>1</v>
      </c>
      <c r="AH185" s="66">
        <v>3</v>
      </c>
    </row>
    <row r="186" spans="1:34" x14ac:dyDescent="0.2">
      <c r="AD186" s="66" t="str">
        <f t="shared" si="2"/>
        <v>III3C1P4</v>
      </c>
      <c r="AE186" s="66">
        <v>1</v>
      </c>
      <c r="AF186" s="66">
        <v>3</v>
      </c>
      <c r="AG186" s="66">
        <v>1</v>
      </c>
      <c r="AH186" s="66">
        <v>4</v>
      </c>
    </row>
    <row r="187" spans="1:34" x14ac:dyDescent="0.2">
      <c r="AD187" s="66" t="str">
        <f t="shared" si="2"/>
        <v>III3C2P1</v>
      </c>
      <c r="AE187" s="66">
        <v>3</v>
      </c>
      <c r="AF187" s="66">
        <v>3</v>
      </c>
      <c r="AG187" s="66">
        <v>2</v>
      </c>
      <c r="AH187" s="66">
        <v>1</v>
      </c>
    </row>
    <row r="188" spans="1:34" x14ac:dyDescent="0.2">
      <c r="AD188" s="66" t="str">
        <f t="shared" si="2"/>
        <v>III3C2P2</v>
      </c>
      <c r="AE188" s="66">
        <v>3</v>
      </c>
      <c r="AF188" s="66">
        <v>3</v>
      </c>
      <c r="AG188" s="66">
        <v>2</v>
      </c>
      <c r="AH188" s="66">
        <v>2</v>
      </c>
    </row>
    <row r="189" spans="1:34" x14ac:dyDescent="0.2">
      <c r="AD189" s="66" t="str">
        <f t="shared" si="2"/>
        <v>III3C2P3</v>
      </c>
      <c r="AE189" s="66">
        <v>2</v>
      </c>
      <c r="AF189" s="66">
        <v>3</v>
      </c>
      <c r="AG189" s="66">
        <v>2</v>
      </c>
      <c r="AH189" s="66">
        <v>3</v>
      </c>
    </row>
    <row r="190" spans="1:34" x14ac:dyDescent="0.2">
      <c r="AD190" s="66" t="str">
        <f t="shared" si="2"/>
        <v>III3C2P4</v>
      </c>
      <c r="AE190" s="66">
        <v>1</v>
      </c>
      <c r="AF190" s="66">
        <v>3</v>
      </c>
      <c r="AG190" s="66">
        <v>2</v>
      </c>
      <c r="AH190" s="66">
        <v>4</v>
      </c>
    </row>
    <row r="191" spans="1:34" x14ac:dyDescent="0.2">
      <c r="AD191" s="66" t="str">
        <f t="shared" si="2"/>
        <v>III3C3P1</v>
      </c>
      <c r="AE191" s="66">
        <v>2</v>
      </c>
      <c r="AF191" s="66">
        <v>3</v>
      </c>
      <c r="AG191" s="66">
        <v>3</v>
      </c>
      <c r="AH191" s="66">
        <v>1</v>
      </c>
    </row>
    <row r="192" spans="1:34" x14ac:dyDescent="0.2">
      <c r="AD192" s="66" t="str">
        <f t="shared" si="2"/>
        <v>III3C3P2</v>
      </c>
      <c r="AE192" s="66">
        <v>2</v>
      </c>
      <c r="AF192" s="66">
        <v>3</v>
      </c>
      <c r="AG192" s="66">
        <v>3</v>
      </c>
      <c r="AH192" s="66">
        <v>2</v>
      </c>
    </row>
    <row r="193" spans="30:34" x14ac:dyDescent="0.2">
      <c r="AD193" s="66" t="str">
        <f t="shared" si="2"/>
        <v>III3C3P3</v>
      </c>
      <c r="AE193" s="66">
        <v>1</v>
      </c>
      <c r="AF193" s="66">
        <v>3</v>
      </c>
      <c r="AG193" s="66">
        <v>3</v>
      </c>
      <c r="AH193" s="66">
        <v>3</v>
      </c>
    </row>
    <row r="194" spans="30:34" x14ac:dyDescent="0.2">
      <c r="AD194" s="66" t="str">
        <f t="shared" si="2"/>
        <v>III3C3P4</v>
      </c>
      <c r="AE194" s="66">
        <v>1</v>
      </c>
      <c r="AF194" s="66">
        <v>3</v>
      </c>
      <c r="AG194" s="66">
        <v>3</v>
      </c>
      <c r="AH194" s="66">
        <v>4</v>
      </c>
    </row>
    <row r="195" spans="30:34" x14ac:dyDescent="0.2">
      <c r="AD195" s="66" t="str">
        <f t="shared" si="2"/>
        <v>III3C4P1</v>
      </c>
      <c r="AE195" s="66">
        <v>1</v>
      </c>
      <c r="AF195" s="66">
        <v>3</v>
      </c>
      <c r="AG195" s="66">
        <v>4</v>
      </c>
      <c r="AH195" s="66">
        <v>1</v>
      </c>
    </row>
    <row r="196" spans="30:34" x14ac:dyDescent="0.2">
      <c r="AD196" s="66" t="str">
        <f t="shared" si="2"/>
        <v>III3C4P2</v>
      </c>
      <c r="AE196" s="66">
        <v>1</v>
      </c>
      <c r="AF196" s="66">
        <v>3</v>
      </c>
      <c r="AG196" s="66">
        <v>4</v>
      </c>
      <c r="AH196" s="66">
        <v>2</v>
      </c>
    </row>
    <row r="197" spans="30:34" x14ac:dyDescent="0.2">
      <c r="AD197" s="66" t="str">
        <f t="shared" si="2"/>
        <v>III3C4P3</v>
      </c>
      <c r="AE197" s="66">
        <v>1</v>
      </c>
      <c r="AF197" s="66">
        <v>3</v>
      </c>
      <c r="AG197" s="66">
        <v>4</v>
      </c>
      <c r="AH197" s="66">
        <v>3</v>
      </c>
    </row>
    <row r="198" spans="30:34" x14ac:dyDescent="0.2">
      <c r="AD198" s="66" t="str">
        <f t="shared" si="2"/>
        <v>III3C4P4</v>
      </c>
      <c r="AE198" s="66">
        <v>1</v>
      </c>
      <c r="AF198" s="66">
        <v>3</v>
      </c>
      <c r="AG198" s="66">
        <v>4</v>
      </c>
      <c r="AH198" s="66">
        <v>4</v>
      </c>
    </row>
    <row r="199" spans="30:34" x14ac:dyDescent="0.2">
      <c r="AD199" s="66" t="str">
        <f t="shared" si="2"/>
        <v>III4C1P1</v>
      </c>
      <c r="AE199" s="66">
        <v>4</v>
      </c>
      <c r="AF199" s="66">
        <v>4</v>
      </c>
      <c r="AG199" s="66">
        <v>1</v>
      </c>
      <c r="AH199" s="66">
        <v>1</v>
      </c>
    </row>
    <row r="200" spans="30:34" x14ac:dyDescent="0.2">
      <c r="AD200" s="66" t="str">
        <f t="shared" ref="AD200:AD214" si="3">CONCATENATE("I",$AF$86,AF200,$AG$86,AG200,$AH$86,AH200)</f>
        <v>III4C1P2</v>
      </c>
      <c r="AE200" s="66">
        <v>3</v>
      </c>
      <c r="AF200" s="66">
        <v>4</v>
      </c>
      <c r="AG200" s="66">
        <v>1</v>
      </c>
      <c r="AH200" s="66">
        <v>2</v>
      </c>
    </row>
    <row r="201" spans="30:34" x14ac:dyDescent="0.2">
      <c r="AD201" s="66" t="str">
        <f t="shared" si="3"/>
        <v>III4C1P3</v>
      </c>
      <c r="AE201" s="66">
        <v>2</v>
      </c>
      <c r="AF201" s="66">
        <v>4</v>
      </c>
      <c r="AG201" s="66">
        <v>1</v>
      </c>
      <c r="AH201" s="66">
        <v>3</v>
      </c>
    </row>
    <row r="202" spans="30:34" x14ac:dyDescent="0.2">
      <c r="AD202" s="66" t="str">
        <f t="shared" si="3"/>
        <v>III4C1P4</v>
      </c>
      <c r="AE202" s="66">
        <v>1</v>
      </c>
      <c r="AF202" s="66">
        <v>4</v>
      </c>
      <c r="AG202" s="66">
        <v>1</v>
      </c>
      <c r="AH202" s="66">
        <v>4</v>
      </c>
    </row>
    <row r="203" spans="30:34" x14ac:dyDescent="0.2">
      <c r="AD203" s="66" t="str">
        <f t="shared" si="3"/>
        <v>III4C2P1</v>
      </c>
      <c r="AE203" s="66">
        <v>3</v>
      </c>
      <c r="AF203" s="66">
        <v>4</v>
      </c>
      <c r="AG203" s="66">
        <v>2</v>
      </c>
      <c r="AH203" s="66">
        <v>1</v>
      </c>
    </row>
    <row r="204" spans="30:34" x14ac:dyDescent="0.2">
      <c r="AD204" s="66" t="str">
        <f t="shared" si="3"/>
        <v>III4C2P2</v>
      </c>
      <c r="AE204" s="66">
        <v>3</v>
      </c>
      <c r="AF204" s="66">
        <v>4</v>
      </c>
      <c r="AG204" s="66">
        <v>2</v>
      </c>
      <c r="AH204" s="66">
        <v>2</v>
      </c>
    </row>
    <row r="205" spans="30:34" x14ac:dyDescent="0.2">
      <c r="AD205" s="66" t="str">
        <f t="shared" si="3"/>
        <v>III4C2P3</v>
      </c>
      <c r="AE205" s="66">
        <v>2</v>
      </c>
      <c r="AF205" s="66">
        <v>4</v>
      </c>
      <c r="AG205" s="66">
        <v>2</v>
      </c>
      <c r="AH205" s="66">
        <v>3</v>
      </c>
    </row>
    <row r="206" spans="30:34" x14ac:dyDescent="0.2">
      <c r="AD206" s="66" t="str">
        <f t="shared" si="3"/>
        <v>III4C2P4</v>
      </c>
      <c r="AE206" s="66">
        <v>1</v>
      </c>
      <c r="AF206" s="66">
        <v>4</v>
      </c>
      <c r="AG206" s="66">
        <v>2</v>
      </c>
      <c r="AH206" s="66">
        <v>4</v>
      </c>
    </row>
    <row r="207" spans="30:34" x14ac:dyDescent="0.2">
      <c r="AD207" s="66" t="str">
        <f t="shared" si="3"/>
        <v>III4C3P1</v>
      </c>
      <c r="AE207" s="66">
        <v>2</v>
      </c>
      <c r="AF207" s="66">
        <v>4</v>
      </c>
      <c r="AG207" s="66">
        <v>3</v>
      </c>
      <c r="AH207" s="66">
        <v>1</v>
      </c>
    </row>
    <row r="208" spans="30:34" x14ac:dyDescent="0.2">
      <c r="AD208" s="66" t="str">
        <f t="shared" si="3"/>
        <v>III4C3P2</v>
      </c>
      <c r="AE208" s="66">
        <v>2</v>
      </c>
      <c r="AF208" s="66">
        <v>4</v>
      </c>
      <c r="AG208" s="66">
        <v>3</v>
      </c>
      <c r="AH208" s="66">
        <v>2</v>
      </c>
    </row>
    <row r="209" spans="30:34" x14ac:dyDescent="0.2">
      <c r="AD209" s="66" t="str">
        <f t="shared" si="3"/>
        <v>III4C3P3</v>
      </c>
      <c r="AE209" s="66">
        <v>2</v>
      </c>
      <c r="AF209" s="66">
        <v>4</v>
      </c>
      <c r="AG209" s="66">
        <v>3</v>
      </c>
      <c r="AH209" s="66">
        <v>3</v>
      </c>
    </row>
    <row r="210" spans="30:34" x14ac:dyDescent="0.2">
      <c r="AD210" s="66" t="str">
        <f t="shared" si="3"/>
        <v>III4C3P4</v>
      </c>
      <c r="AE210" s="66">
        <v>1</v>
      </c>
      <c r="AF210" s="66">
        <v>4</v>
      </c>
      <c r="AG210" s="66">
        <v>3</v>
      </c>
      <c r="AH210" s="66">
        <v>4</v>
      </c>
    </row>
    <row r="211" spans="30:34" x14ac:dyDescent="0.2">
      <c r="AD211" s="66" t="str">
        <f t="shared" si="3"/>
        <v>III4C4P1</v>
      </c>
      <c r="AE211" s="66">
        <v>1</v>
      </c>
      <c r="AF211" s="66">
        <v>4</v>
      </c>
      <c r="AG211" s="66">
        <v>4</v>
      </c>
      <c r="AH211" s="66">
        <v>1</v>
      </c>
    </row>
    <row r="212" spans="30:34" x14ac:dyDescent="0.2">
      <c r="AD212" s="66" t="str">
        <f t="shared" si="3"/>
        <v>III4C4P2</v>
      </c>
      <c r="AE212" s="66">
        <v>1</v>
      </c>
      <c r="AF212" s="66">
        <v>4</v>
      </c>
      <c r="AG212" s="66">
        <v>4</v>
      </c>
      <c r="AH212" s="66">
        <v>2</v>
      </c>
    </row>
    <row r="213" spans="30:34" x14ac:dyDescent="0.2">
      <c r="AD213" s="66" t="str">
        <f t="shared" si="3"/>
        <v>III4C4P3</v>
      </c>
      <c r="AE213" s="66">
        <v>1</v>
      </c>
      <c r="AF213" s="66">
        <v>4</v>
      </c>
      <c r="AG213" s="66">
        <v>4</v>
      </c>
      <c r="AH213" s="66">
        <v>3</v>
      </c>
    </row>
    <row r="214" spans="30:34" x14ac:dyDescent="0.2">
      <c r="AD214" s="66" t="str">
        <f t="shared" si="3"/>
        <v>III4C4P4</v>
      </c>
      <c r="AE214" s="66">
        <v>1</v>
      </c>
      <c r="AF214" s="66">
        <v>4</v>
      </c>
      <c r="AG214" s="66">
        <v>4</v>
      </c>
      <c r="AH214" s="66">
        <v>4</v>
      </c>
    </row>
    <row r="215" spans="30:34" x14ac:dyDescent="0.2">
      <c r="AD215" s="66" t="str">
        <f t="shared" ref="AD215:AD230" si="4">CONCATENATE("C",$AF$86,AF215,$AG$86,AG215,$AH$86,AH215)</f>
        <v>CII1C1P1</v>
      </c>
      <c r="AE215" s="66">
        <v>1</v>
      </c>
      <c r="AF215" s="66">
        <v>1</v>
      </c>
      <c r="AG215" s="66">
        <v>1</v>
      </c>
      <c r="AH215" s="66">
        <v>1</v>
      </c>
    </row>
    <row r="216" spans="30:34" x14ac:dyDescent="0.2">
      <c r="AD216" s="66" t="str">
        <f t="shared" si="4"/>
        <v>CII1C2P1</v>
      </c>
      <c r="AE216" s="66">
        <v>1</v>
      </c>
      <c r="AF216" s="66">
        <v>1</v>
      </c>
      <c r="AG216" s="66">
        <v>2</v>
      </c>
      <c r="AH216" s="66">
        <v>1</v>
      </c>
    </row>
    <row r="217" spans="30:34" x14ac:dyDescent="0.2">
      <c r="AD217" s="66" t="str">
        <f t="shared" si="4"/>
        <v>CII1C3P1</v>
      </c>
      <c r="AE217" s="66">
        <v>1</v>
      </c>
      <c r="AF217" s="66">
        <v>1</v>
      </c>
      <c r="AG217" s="66">
        <v>3</v>
      </c>
      <c r="AH217" s="66">
        <v>1</v>
      </c>
    </row>
    <row r="218" spans="30:34" x14ac:dyDescent="0.2">
      <c r="AD218" s="66" t="str">
        <f t="shared" si="4"/>
        <v>CII1C4P1</v>
      </c>
      <c r="AE218" s="66">
        <v>1</v>
      </c>
      <c r="AF218" s="66">
        <v>1</v>
      </c>
      <c r="AG218" s="66">
        <v>4</v>
      </c>
      <c r="AH218" s="66">
        <v>1</v>
      </c>
    </row>
    <row r="219" spans="30:34" x14ac:dyDescent="0.2">
      <c r="AD219" s="66" t="str">
        <f t="shared" si="4"/>
        <v>CII2C1P1</v>
      </c>
      <c r="AE219" s="66">
        <v>2</v>
      </c>
      <c r="AF219" s="66">
        <v>2</v>
      </c>
      <c r="AG219" s="66">
        <v>1</v>
      </c>
      <c r="AH219" s="66">
        <v>1</v>
      </c>
    </row>
    <row r="220" spans="30:34" x14ac:dyDescent="0.2">
      <c r="AD220" s="66" t="str">
        <f t="shared" si="4"/>
        <v>CII2C2P1</v>
      </c>
      <c r="AE220" s="66">
        <v>2</v>
      </c>
      <c r="AF220" s="66">
        <v>2</v>
      </c>
      <c r="AG220" s="66">
        <v>2</v>
      </c>
      <c r="AH220" s="66">
        <v>1</v>
      </c>
    </row>
    <row r="221" spans="30:34" x14ac:dyDescent="0.2">
      <c r="AD221" s="66" t="str">
        <f t="shared" si="4"/>
        <v>CII2C3P1</v>
      </c>
      <c r="AE221" s="66">
        <v>2</v>
      </c>
      <c r="AF221" s="66">
        <v>2</v>
      </c>
      <c r="AG221" s="66">
        <v>3</v>
      </c>
      <c r="AH221" s="66">
        <v>1</v>
      </c>
    </row>
    <row r="222" spans="30:34" x14ac:dyDescent="0.2">
      <c r="AD222" s="66" t="str">
        <f t="shared" si="4"/>
        <v>CII2C4P1</v>
      </c>
      <c r="AE222" s="66">
        <v>1</v>
      </c>
      <c r="AF222" s="66">
        <v>2</v>
      </c>
      <c r="AG222" s="66">
        <v>4</v>
      </c>
      <c r="AH222" s="66">
        <v>1</v>
      </c>
    </row>
    <row r="223" spans="30:34" x14ac:dyDescent="0.2">
      <c r="AD223" s="66" t="str">
        <f t="shared" si="4"/>
        <v>CII3C1P1</v>
      </c>
      <c r="AE223" s="66">
        <v>3</v>
      </c>
      <c r="AF223" s="66">
        <v>3</v>
      </c>
      <c r="AG223" s="66">
        <v>1</v>
      </c>
      <c r="AH223" s="66">
        <v>1</v>
      </c>
    </row>
    <row r="224" spans="30:34" x14ac:dyDescent="0.2">
      <c r="AD224" s="66" t="str">
        <f t="shared" si="4"/>
        <v>CII3C2P1</v>
      </c>
      <c r="AE224" s="66">
        <v>3</v>
      </c>
      <c r="AF224" s="66">
        <v>3</v>
      </c>
      <c r="AG224" s="66">
        <v>2</v>
      </c>
      <c r="AH224" s="66">
        <v>1</v>
      </c>
    </row>
    <row r="225" spans="30:34" x14ac:dyDescent="0.2">
      <c r="AD225" s="66" t="str">
        <f t="shared" si="4"/>
        <v>CII3C3P1</v>
      </c>
      <c r="AE225" s="66">
        <v>2</v>
      </c>
      <c r="AF225" s="66">
        <v>3</v>
      </c>
      <c r="AG225" s="66">
        <v>3</v>
      </c>
      <c r="AH225" s="66">
        <v>1</v>
      </c>
    </row>
    <row r="226" spans="30:34" x14ac:dyDescent="0.2">
      <c r="AD226" s="66" t="str">
        <f t="shared" si="4"/>
        <v>CII3C4P1</v>
      </c>
      <c r="AE226" s="66">
        <v>1</v>
      </c>
      <c r="AF226" s="66">
        <v>3</v>
      </c>
      <c r="AG226" s="66">
        <v>4</v>
      </c>
      <c r="AH226" s="66">
        <v>1</v>
      </c>
    </row>
    <row r="227" spans="30:34" x14ac:dyDescent="0.2">
      <c r="AD227" s="66" t="str">
        <f t="shared" si="4"/>
        <v>CII4C1P1</v>
      </c>
      <c r="AE227" s="66">
        <v>4</v>
      </c>
      <c r="AF227" s="66">
        <v>4</v>
      </c>
      <c r="AG227" s="66">
        <v>1</v>
      </c>
      <c r="AH227" s="66">
        <v>1</v>
      </c>
    </row>
    <row r="228" spans="30:34" x14ac:dyDescent="0.2">
      <c r="AD228" s="66" t="str">
        <f t="shared" si="4"/>
        <v>CII4C2P1</v>
      </c>
      <c r="AE228" s="66">
        <v>3</v>
      </c>
      <c r="AF228" s="66">
        <v>4</v>
      </c>
      <c r="AG228" s="66">
        <v>2</v>
      </c>
      <c r="AH228" s="66">
        <v>1</v>
      </c>
    </row>
    <row r="229" spans="30:34" x14ac:dyDescent="0.2">
      <c r="AD229" s="66" t="str">
        <f t="shared" si="4"/>
        <v>CII4C3P1</v>
      </c>
      <c r="AE229" s="66">
        <v>2</v>
      </c>
      <c r="AF229" s="66">
        <v>4</v>
      </c>
      <c r="AG229" s="66">
        <v>3</v>
      </c>
      <c r="AH229" s="66">
        <v>1</v>
      </c>
    </row>
    <row r="230" spans="30:34" x14ac:dyDescent="0.2">
      <c r="AD230" s="66" t="str">
        <f t="shared" si="4"/>
        <v>CII4C4P1</v>
      </c>
      <c r="AE230" s="66">
        <v>1</v>
      </c>
      <c r="AF230" s="66">
        <v>4</v>
      </c>
      <c r="AG230" s="66">
        <v>4</v>
      </c>
      <c r="AH230" s="66">
        <v>1</v>
      </c>
    </row>
  </sheetData>
  <mergeCells count="28">
    <mergeCell ref="C61:G61"/>
    <mergeCell ref="J61:N61"/>
    <mergeCell ref="Q61:U61"/>
    <mergeCell ref="X61:AB61"/>
    <mergeCell ref="C39:G39"/>
    <mergeCell ref="J39:N39"/>
    <mergeCell ref="Q39:U39"/>
    <mergeCell ref="X39:AB39"/>
    <mergeCell ref="C50:G50"/>
    <mergeCell ref="J50:N50"/>
    <mergeCell ref="Q50:U50"/>
    <mergeCell ref="X50:AB50"/>
    <mergeCell ref="C5:G5"/>
    <mergeCell ref="J5:N5"/>
    <mergeCell ref="Q5:U5"/>
    <mergeCell ref="X5:AB5"/>
    <mergeCell ref="C16:G16"/>
    <mergeCell ref="J16:N16"/>
    <mergeCell ref="Q16:U16"/>
    <mergeCell ref="X16:AB16"/>
    <mergeCell ref="AU50:AY50"/>
    <mergeCell ref="BB50:BF50"/>
    <mergeCell ref="C27:G27"/>
    <mergeCell ref="J27:N27"/>
    <mergeCell ref="Q27:U27"/>
    <mergeCell ref="X27:AB27"/>
    <mergeCell ref="AG50:AK50"/>
    <mergeCell ref="AN50:AR50"/>
  </mergeCells>
  <pageMargins left="0.70866141732283472" right="0.70866141732283472" top="0.78740157480314965" bottom="0.78740157480314965" header="0.31496062992125984" footer="0.31496062992125984"/>
  <pageSetup paperSize="9" orientation="portrait" r:id="rId1"/>
  <headerFooter scaleWithDoc="0">
    <oddHeader>&amp;LAuditor: Micha Schönenberger&amp;CTEST 1234&amp;RIoT Risk Assessment</oddHeader>
    <oddFooter>&amp;LKunde: Rolf Huber&amp;C18.07.2015&amp;RSeite &amp;P/&amp;N</oddFooter>
  </headerFooter>
  <rowBreaks count="1" manualBreakCount="1">
    <brk id="35" max="27"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124</vt:i4>
      </vt:variant>
    </vt:vector>
  </HeadingPairs>
  <TitlesOfParts>
    <vt:vector size="142" baseType="lpstr">
      <vt:lpstr>global_Settings</vt:lpstr>
      <vt:lpstr>LANGUAGE-D-E</vt:lpstr>
      <vt:lpstr>&lt;&lt;Settings</vt:lpstr>
      <vt:lpstr>Title</vt:lpstr>
      <vt:lpstr>FMEA</vt:lpstr>
      <vt:lpstr>FMEA-Risk-Matrix</vt:lpstr>
      <vt:lpstr>FMEA_scores</vt:lpstr>
      <vt:lpstr>Assets_DB</vt:lpstr>
      <vt:lpstr>potential_failure_DB</vt:lpstr>
      <vt:lpstr>result_failure_DB</vt:lpstr>
      <vt:lpstr>cause_failure_DB</vt:lpstr>
      <vt:lpstr>MEHARI</vt:lpstr>
      <vt:lpstr>MEHARI-Risk-Matrix</vt:lpstr>
      <vt:lpstr>DISS_DB</vt:lpstr>
      <vt:lpstr>PREV_DB</vt:lpstr>
      <vt:lpstr>PROT_DB</vt:lpstr>
      <vt:lpstr>PALL_DB</vt:lpstr>
      <vt:lpstr>Grids</vt:lpstr>
      <vt:lpstr>Add_FMEA_Cleaning</vt:lpstr>
      <vt:lpstr>Add_FMEA_Cleaning_No</vt:lpstr>
      <vt:lpstr>Add_FMEA_clear_all</vt:lpstr>
      <vt:lpstr>Add_FMEA_clear_all_No</vt:lpstr>
      <vt:lpstr>Add_HeaderFooter_Finished</vt:lpstr>
      <vt:lpstr>Add_HeaderFooter_Info</vt:lpstr>
      <vt:lpstr>Add_Info_Save_PDF</vt:lpstr>
      <vt:lpstr>Add_language_changes_now</vt:lpstr>
      <vt:lpstr>Add_MEHARI_Cleaning</vt:lpstr>
      <vt:lpstr>Add_MEHARI_Cleaning_no</vt:lpstr>
      <vt:lpstr>Add_MEHARI_clear_all</vt:lpstr>
      <vt:lpstr>Add_MEHARI_clear_all_no</vt:lpstr>
      <vt:lpstr>Add_MEHARI_transfer_risks</vt:lpstr>
      <vt:lpstr>Add_MEHARI_transfer_risks_no</vt:lpstr>
      <vt:lpstr>Add_Menu_1</vt:lpstr>
      <vt:lpstr>Add_Menu_1_1</vt:lpstr>
      <vt:lpstr>Add_Menu_1_2</vt:lpstr>
      <vt:lpstr>Add_Menu_1_3</vt:lpstr>
      <vt:lpstr>Add_Menu_1_4</vt:lpstr>
      <vt:lpstr>Add_Menu_2</vt:lpstr>
      <vt:lpstr>Add_Menu_2_1</vt:lpstr>
      <vt:lpstr>Add_Menu_2_2</vt:lpstr>
      <vt:lpstr>Add_Menu_2_3</vt:lpstr>
      <vt:lpstr>Add_Menu_2_4</vt:lpstr>
      <vt:lpstr>Add_Menu_3</vt:lpstr>
      <vt:lpstr>Add_Menu_3_1</vt:lpstr>
      <vt:lpstr>Add_Menu_3_2</vt:lpstr>
      <vt:lpstr>Add_Menu_3_3</vt:lpstr>
      <vt:lpstr>Add_Menu_3_4</vt:lpstr>
      <vt:lpstr>Add_Menu_x_1</vt:lpstr>
      <vt:lpstr>Add_Menu_x_2</vt:lpstr>
      <vt:lpstr>Add_Menu_x_3</vt:lpstr>
      <vt:lpstr>Add_Menu_x_4</vt:lpstr>
      <vt:lpstr>Add_Menu_x_5</vt:lpstr>
      <vt:lpstr>Add_Menu_x_6</vt:lpstr>
      <vt:lpstr>Add_PDF_not_Saved</vt:lpstr>
      <vt:lpstr>Add_PDF_Saved</vt:lpstr>
      <vt:lpstr>Answer_DB</vt:lpstr>
      <vt:lpstr>Asset_DB</vt:lpstr>
      <vt:lpstr>Auditor_Company</vt:lpstr>
      <vt:lpstr>Auditor_email</vt:lpstr>
      <vt:lpstr>Auditor_Lastname</vt:lpstr>
      <vt:lpstr>Auditor_phone</vt:lpstr>
      <vt:lpstr>Auditor_Surname</vt:lpstr>
      <vt:lpstr>cause_error_No</vt:lpstr>
      <vt:lpstr>cause_failure_DB</vt:lpstr>
      <vt:lpstr>Customer_company</vt:lpstr>
      <vt:lpstr>Customer_email</vt:lpstr>
      <vt:lpstr>Customer_Lastname</vt:lpstr>
      <vt:lpstr>Customer_phone</vt:lpstr>
      <vt:lpstr>Customer_Place</vt:lpstr>
      <vt:lpstr>Customer_PLZ</vt:lpstr>
      <vt:lpstr>Customer_Street</vt:lpstr>
      <vt:lpstr>Customer_Surname</vt:lpstr>
      <vt:lpstr>Assets_DB!Druckbereich</vt:lpstr>
      <vt:lpstr>cause_failure_DB!Druckbereich</vt:lpstr>
      <vt:lpstr>DISS_DB!Druckbereich</vt:lpstr>
      <vt:lpstr>FMEA!Druckbereich</vt:lpstr>
      <vt:lpstr>FMEA_scores!Druckbereich</vt:lpstr>
      <vt:lpstr>'FMEA-Risk-Matrix'!Druckbereich</vt:lpstr>
      <vt:lpstr>Grids!Druckbereich</vt:lpstr>
      <vt:lpstr>MEHARI!Druckbereich</vt:lpstr>
      <vt:lpstr>'MEHARI-Risk-Matrix'!Druckbereich</vt:lpstr>
      <vt:lpstr>PALL_DB!Druckbereich</vt:lpstr>
      <vt:lpstr>potential_failure_DB!Druckbereich</vt:lpstr>
      <vt:lpstr>PREV_DB!Druckbereich</vt:lpstr>
      <vt:lpstr>PROT_DB!Druckbereich</vt:lpstr>
      <vt:lpstr>result_failure_DB!Druckbereich</vt:lpstr>
      <vt:lpstr>Title!Druckbereich</vt:lpstr>
      <vt:lpstr>Assets_DB!Drucktitel</vt:lpstr>
      <vt:lpstr>cause_failure_DB!Drucktitel</vt:lpstr>
      <vt:lpstr>DISS_DB!Drucktitel</vt:lpstr>
      <vt:lpstr>FMEA!Drucktitel</vt:lpstr>
      <vt:lpstr>MEHARI!Drucktitel</vt:lpstr>
      <vt:lpstr>PALL_DB!Drucktitel</vt:lpstr>
      <vt:lpstr>potential_failure_DB!Drucktitel</vt:lpstr>
      <vt:lpstr>PREV_DB!Drucktitel</vt:lpstr>
      <vt:lpstr>PROT_DB!Drucktitel</vt:lpstr>
      <vt:lpstr>result_failure_DB!Drucktitel</vt:lpstr>
      <vt:lpstr>FMEA_1st</vt:lpstr>
      <vt:lpstr>FMEA_column</vt:lpstr>
      <vt:lpstr>FMEA_duplicates</vt:lpstr>
      <vt:lpstr>FMEA_First</vt:lpstr>
      <vt:lpstr>FMEA_last</vt:lpstr>
      <vt:lpstr>FMEA_occurence_matrix</vt:lpstr>
      <vt:lpstr>FMEA_severity_matrix</vt:lpstr>
      <vt:lpstr>FMEA_Short_Long</vt:lpstr>
      <vt:lpstr>Footer_center</vt:lpstr>
      <vt:lpstr>Footer_left</vt:lpstr>
      <vt:lpstr>Footer_right</vt:lpstr>
      <vt:lpstr>Header_center</vt:lpstr>
      <vt:lpstr>Header_left</vt:lpstr>
      <vt:lpstr>Header_right</vt:lpstr>
      <vt:lpstr>insomeCircumstances</vt:lpstr>
      <vt:lpstr>Language_chosen</vt:lpstr>
      <vt:lpstr>LANGUAGE_DB</vt:lpstr>
      <vt:lpstr>M_accident</vt:lpstr>
      <vt:lpstr>M_DISS_DB</vt:lpstr>
      <vt:lpstr>M_error</vt:lpstr>
      <vt:lpstr>M_Grid_DB_Impact</vt:lpstr>
      <vt:lpstr>M_Grid_DB_Likelihood</vt:lpstr>
      <vt:lpstr>M_PALL_DB</vt:lpstr>
      <vt:lpstr>M_PREV_DB</vt:lpstr>
      <vt:lpstr>M_PROT_DB</vt:lpstr>
      <vt:lpstr>M_Scenario_DB</vt:lpstr>
      <vt:lpstr>M_Scenrio_CIA</vt:lpstr>
      <vt:lpstr>M_voluntary_action</vt:lpstr>
      <vt:lpstr>MEHARI_1st</vt:lpstr>
      <vt:lpstr>MEHARI_column</vt:lpstr>
      <vt:lpstr>MEHARI_duplicates_a</vt:lpstr>
      <vt:lpstr>MEHARI_duplicates_b</vt:lpstr>
      <vt:lpstr>MEHARI_First</vt:lpstr>
      <vt:lpstr>MEHARI_last</vt:lpstr>
      <vt:lpstr>MEHARI_occurence_matrix_a</vt:lpstr>
      <vt:lpstr>MEHARI_occurence_matrix_b</vt:lpstr>
      <vt:lpstr>MEHARI_Short_Long</vt:lpstr>
      <vt:lpstr>NO</vt:lpstr>
      <vt:lpstr>potential_failure_DB</vt:lpstr>
      <vt:lpstr>result_failure_DB</vt:lpstr>
      <vt:lpstr>Risk_Acceptance_DB</vt:lpstr>
      <vt:lpstr>Risk_Decrease</vt:lpstr>
      <vt:lpstr>Risk_increase</vt:lpstr>
      <vt:lpstr>YES</vt:lpstr>
      <vt:lpstr>Yes_No_DB</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 Schönenberger</dc:creator>
  <cp:lastModifiedBy>Micha Schönenberger</cp:lastModifiedBy>
  <cp:lastPrinted>2015-07-28T13:30:59Z</cp:lastPrinted>
  <dcterms:created xsi:type="dcterms:W3CDTF">2012-12-06T10:18:12Z</dcterms:created>
  <dcterms:modified xsi:type="dcterms:W3CDTF">2015-07-30T15:07:14Z</dcterms:modified>
</cp:coreProperties>
</file>